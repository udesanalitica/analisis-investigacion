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R-Proyectos\analisis-investigacion\bd_scraping\"/>
    </mc:Choice>
  </mc:AlternateContent>
  <xr:revisionPtr revIDLastSave="0" documentId="13_ncr:1_{361BB71B-04A4-4453-9BD1-5B2B25E3F93B}" xr6:coauthVersionLast="47" xr6:coauthVersionMax="47" xr10:uidLastSave="{00000000-0000-0000-0000-000000000000}"/>
  <bookViews>
    <workbookView xWindow="-120" yWindow="-120" windowWidth="29040" windowHeight="15840" xr2:uid="{0BBA2DC0-222C-4F9D-8FE9-90F2C6E0F793}"/>
  </bookViews>
  <sheets>
    <sheet name="data_orige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5" i="1" l="1"/>
  <c r="T35" i="1"/>
  <c r="U35" i="1"/>
  <c r="V35" i="1"/>
  <c r="W35" i="1"/>
  <c r="X35" i="1"/>
  <c r="Y35" i="1"/>
  <c r="Z35" i="1"/>
  <c r="AA35" i="1"/>
  <c r="AB35" i="1"/>
  <c r="AC35" i="1"/>
  <c r="AD35" i="1"/>
  <c r="AE35" i="1"/>
  <c r="AF35" i="1"/>
  <c r="AG35" i="1"/>
  <c r="AH35" i="1"/>
  <c r="AI35" i="1"/>
  <c r="AJ35" i="1"/>
  <c r="AK35" i="1"/>
  <c r="AL35" i="1"/>
  <c r="AM35" i="1"/>
  <c r="AN35" i="1"/>
  <c r="AO35" i="1"/>
  <c r="AP35" i="1"/>
  <c r="AQ35" i="1"/>
  <c r="AR35" i="1"/>
  <c r="AS35" i="1"/>
  <c r="AT35" i="1"/>
  <c r="S36" i="1"/>
  <c r="T36" i="1"/>
  <c r="U36" i="1"/>
  <c r="V36" i="1"/>
  <c r="W36" i="1"/>
  <c r="X36" i="1"/>
  <c r="Y36" i="1"/>
  <c r="Z36" i="1"/>
  <c r="AA36" i="1"/>
  <c r="AB36" i="1"/>
  <c r="AC36" i="1"/>
  <c r="AD36" i="1"/>
  <c r="AE36" i="1"/>
  <c r="AF36" i="1"/>
  <c r="AG36" i="1"/>
  <c r="AH36" i="1"/>
  <c r="AI36" i="1"/>
  <c r="AJ36" i="1"/>
  <c r="AK36" i="1"/>
  <c r="AL36" i="1"/>
  <c r="AM36" i="1"/>
  <c r="AN36" i="1"/>
  <c r="AO36" i="1"/>
  <c r="AP36" i="1"/>
  <c r="AQ36" i="1"/>
  <c r="AR36" i="1"/>
  <c r="AS36" i="1"/>
  <c r="AT36" i="1"/>
  <c r="S37" i="1"/>
  <c r="T37" i="1"/>
  <c r="U37" i="1"/>
  <c r="V37" i="1"/>
  <c r="W37" i="1"/>
  <c r="X37" i="1"/>
  <c r="Y37" i="1"/>
  <c r="Z37" i="1"/>
  <c r="AA37" i="1"/>
  <c r="AB37" i="1"/>
  <c r="AC37" i="1"/>
  <c r="AD37" i="1"/>
  <c r="AE37" i="1"/>
  <c r="AF37" i="1"/>
  <c r="AG37" i="1"/>
  <c r="AH37" i="1"/>
  <c r="AI37" i="1"/>
  <c r="AJ37" i="1"/>
  <c r="AK37" i="1"/>
  <c r="AL37" i="1"/>
  <c r="AM37" i="1"/>
  <c r="AN37" i="1"/>
  <c r="AO37" i="1"/>
  <c r="AP37" i="1"/>
  <c r="AQ37" i="1"/>
  <c r="AR37" i="1"/>
  <c r="AS37" i="1"/>
  <c r="AT37" i="1"/>
  <c r="S38" i="1"/>
  <c r="T38" i="1"/>
  <c r="U38" i="1"/>
  <c r="V38" i="1"/>
  <c r="W38" i="1"/>
  <c r="X38" i="1"/>
  <c r="Y38" i="1"/>
  <c r="Z38" i="1"/>
  <c r="AA38" i="1"/>
  <c r="AB38" i="1"/>
  <c r="AC38" i="1"/>
  <c r="AD38" i="1"/>
  <c r="AE38" i="1"/>
  <c r="AF38" i="1"/>
  <c r="AG38" i="1"/>
  <c r="AH38" i="1"/>
  <c r="AI38" i="1"/>
  <c r="AJ38" i="1"/>
  <c r="AK38" i="1"/>
  <c r="AL38" i="1"/>
  <c r="AM38" i="1"/>
  <c r="AN38" i="1"/>
  <c r="AO38" i="1"/>
  <c r="AP38" i="1"/>
  <c r="AQ38" i="1"/>
  <c r="AR38" i="1"/>
  <c r="AS38" i="1"/>
  <c r="AT38" i="1"/>
  <c r="E35" i="1"/>
  <c r="F35" i="1"/>
  <c r="G35" i="1"/>
  <c r="H35" i="1"/>
  <c r="I35" i="1"/>
  <c r="J35" i="1"/>
  <c r="K35" i="1"/>
  <c r="L35" i="1"/>
  <c r="M35" i="1"/>
  <c r="N35" i="1"/>
  <c r="O35" i="1"/>
  <c r="P35" i="1"/>
  <c r="Q35" i="1"/>
  <c r="R35" i="1"/>
  <c r="E36" i="1"/>
  <c r="F36" i="1"/>
  <c r="G36" i="1"/>
  <c r="H36" i="1"/>
  <c r="I36" i="1"/>
  <c r="J36" i="1"/>
  <c r="K36" i="1"/>
  <c r="L36" i="1"/>
  <c r="M36" i="1"/>
  <c r="N36" i="1"/>
  <c r="O36" i="1"/>
  <c r="P36" i="1"/>
  <c r="Q36" i="1"/>
  <c r="R36" i="1"/>
  <c r="E37" i="1"/>
  <c r="F37" i="1"/>
  <c r="G37" i="1"/>
  <c r="H37" i="1"/>
  <c r="I37" i="1"/>
  <c r="J37" i="1"/>
  <c r="K37" i="1"/>
  <c r="L37" i="1"/>
  <c r="M37" i="1"/>
  <c r="N37" i="1"/>
  <c r="O37" i="1"/>
  <c r="P37" i="1"/>
  <c r="Q37" i="1"/>
  <c r="R37" i="1"/>
  <c r="E38" i="1"/>
  <c r="F38" i="1"/>
  <c r="G38" i="1"/>
  <c r="H38" i="1"/>
  <c r="I38" i="1"/>
  <c r="J38" i="1"/>
  <c r="K38" i="1"/>
  <c r="L38" i="1"/>
  <c r="M38" i="1"/>
  <c r="N38" i="1"/>
  <c r="O38" i="1"/>
  <c r="P38" i="1"/>
  <c r="Q38" i="1"/>
  <c r="R38" i="1"/>
  <c r="D35" i="1"/>
  <c r="D36" i="1"/>
  <c r="D37" i="1"/>
  <c r="D38" i="1"/>
  <c r="C38" i="1"/>
  <c r="C37" i="1"/>
  <c r="C36" i="1"/>
  <c r="C35" i="1"/>
  <c r="C39" i="1"/>
  <c r="C40" i="1" s="1"/>
  <c r="AI39" i="1"/>
  <c r="AI40" i="1" s="1"/>
  <c r="AJ39" i="1"/>
  <c r="AJ40" i="1" s="1"/>
  <c r="AK39" i="1"/>
  <c r="AK40" i="1" s="1"/>
  <c r="AL39" i="1"/>
  <c r="AL40" i="1" s="1"/>
  <c r="AM39" i="1"/>
  <c r="AM40" i="1" s="1"/>
  <c r="AN39" i="1"/>
  <c r="AN40" i="1" s="1"/>
  <c r="AO39" i="1"/>
  <c r="AO40" i="1" s="1"/>
  <c r="AP39" i="1"/>
  <c r="AP40" i="1" s="1"/>
  <c r="AQ39" i="1"/>
  <c r="AQ40" i="1" s="1"/>
  <c r="AR39" i="1"/>
  <c r="AR40" i="1" s="1"/>
  <c r="AS39" i="1"/>
  <c r="AS40" i="1" s="1"/>
  <c r="AT39" i="1"/>
  <c r="AT40" i="1" s="1"/>
  <c r="D39" i="1"/>
  <c r="D40" i="1" s="1"/>
  <c r="E39" i="1"/>
  <c r="E40" i="1" s="1"/>
  <c r="F39" i="1"/>
  <c r="F40" i="1" s="1"/>
  <c r="G39" i="1"/>
  <c r="G40" i="1" s="1"/>
  <c r="H39" i="1"/>
  <c r="H40" i="1" s="1"/>
  <c r="I39" i="1"/>
  <c r="I40" i="1" s="1"/>
  <c r="J39" i="1"/>
  <c r="J40" i="1" s="1"/>
  <c r="K39" i="1"/>
  <c r="K40" i="1" s="1"/>
  <c r="L39" i="1"/>
  <c r="L40" i="1" s="1"/>
  <c r="M39" i="1"/>
  <c r="M40" i="1" s="1"/>
  <c r="N39" i="1"/>
  <c r="N40" i="1" s="1"/>
  <c r="O39" i="1"/>
  <c r="O40" i="1" s="1"/>
  <c r="P39" i="1"/>
  <c r="P40" i="1" s="1"/>
  <c r="Q39" i="1"/>
  <c r="Q40" i="1" s="1"/>
  <c r="R39" i="1"/>
  <c r="R40" i="1" s="1"/>
  <c r="S39" i="1"/>
  <c r="S40" i="1" s="1"/>
  <c r="T39" i="1"/>
  <c r="T40" i="1" s="1"/>
  <c r="U39" i="1"/>
  <c r="U40" i="1" s="1"/>
  <c r="V39" i="1"/>
  <c r="V40" i="1" s="1"/>
  <c r="W39" i="1"/>
  <c r="W40" i="1" s="1"/>
  <c r="X39" i="1"/>
  <c r="X40" i="1" s="1"/>
  <c r="Y39" i="1"/>
  <c r="Y40" i="1" s="1"/>
  <c r="Z39" i="1"/>
  <c r="Z40" i="1" s="1"/>
  <c r="AA39" i="1"/>
  <c r="AA40" i="1" s="1"/>
  <c r="AB39" i="1"/>
  <c r="AB40" i="1" s="1"/>
  <c r="AC39" i="1"/>
  <c r="AC40" i="1" s="1"/>
  <c r="AD39" i="1"/>
  <c r="AD40" i="1" s="1"/>
  <c r="AE39" i="1"/>
  <c r="AE40" i="1" s="1"/>
  <c r="AF39" i="1"/>
  <c r="AF40" i="1" s="1"/>
  <c r="AG39" i="1"/>
  <c r="AG40" i="1" s="1"/>
  <c r="AH39" i="1"/>
  <c r="AH40" i="1" s="1"/>
</calcChain>
</file>

<file path=xl/sharedStrings.xml><?xml version="1.0" encoding="utf-8"?>
<sst xmlns="http://schemas.openxmlformats.org/spreadsheetml/2006/main" count="1730" uniqueCount="398">
  <si>
    <t>Código grupoLac</t>
  </si>
  <si>
    <t>Grupo</t>
  </si>
  <si>
    <t>IS</t>
  </si>
  <si>
    <t>I</t>
  </si>
  <si>
    <t>IJ</t>
  </si>
  <si>
    <t>ED</t>
  </si>
  <si>
    <t>EM</t>
  </si>
  <si>
    <t>EP</t>
  </si>
  <si>
    <t>IVD</t>
  </si>
  <si>
    <t>IVM</t>
  </si>
  <si>
    <t>IVP</t>
  </si>
  <si>
    <t>IVE</t>
  </si>
  <si>
    <t>IV</t>
  </si>
  <si>
    <t>IC</t>
  </si>
  <si>
    <t>ICOOP</t>
  </si>
  <si>
    <t>ART_A</t>
  </si>
  <si>
    <t>ART_D</t>
  </si>
  <si>
    <t>N</t>
  </si>
  <si>
    <t>LIB_C</t>
  </si>
  <si>
    <t>CAP</t>
  </si>
  <si>
    <t>CAP_C</t>
  </si>
  <si>
    <t>PAT</t>
  </si>
  <si>
    <t>AAD</t>
  </si>
  <si>
    <t>TEC</t>
  </si>
  <si>
    <t>EMP</t>
  </si>
  <si>
    <t>RNL</t>
  </si>
  <si>
    <t>CON</t>
  </si>
  <si>
    <t>MR</t>
  </si>
  <si>
    <t>PASC</t>
  </si>
  <si>
    <t>CCE</t>
  </si>
  <si>
    <t>DP</t>
  </si>
  <si>
    <t>PBB</t>
  </si>
  <si>
    <t>TD</t>
  </si>
  <si>
    <t>TM</t>
  </si>
  <si>
    <t>TG</t>
  </si>
  <si>
    <t>PID</t>
  </si>
  <si>
    <t>PIC</t>
  </si>
  <si>
    <t>PF</t>
  </si>
  <si>
    <t>PERS</t>
  </si>
  <si>
    <t>AP</t>
  </si>
  <si>
    <t>APO</t>
  </si>
  <si>
    <t>Categoria</t>
  </si>
  <si>
    <t>CAMPUS</t>
  </si>
  <si>
    <t>Número de Co-investigadores con formación doctoral  C/T</t>
  </si>
  <si>
    <t>Número docentes activos</t>
  </si>
  <si>
    <t>Docentes en proyectos</t>
  </si>
  <si>
    <t>Proyectos por grupo</t>
  </si>
  <si>
    <t>Productos asociados a proyectos</t>
  </si>
  <si>
    <t>Numero de Semilleros</t>
  </si>
  <si>
    <t>CINDE</t>
  </si>
  <si>
    <t>COL0017389</t>
  </si>
  <si>
    <t>CIEMPIES</t>
  </si>
  <si>
    <t>Q1</t>
  </si>
  <si>
    <t>Q2</t>
  </si>
  <si>
    <t>Sin_capacidad</t>
  </si>
  <si>
    <t>Q3</t>
  </si>
  <si>
    <t>Q4</t>
  </si>
  <si>
    <t>A</t>
  </si>
  <si>
    <t>BUC</t>
  </si>
  <si>
    <t>CIEMPIÉS</t>
  </si>
  <si>
    <t xml:space="preserve">Administración de Empresas y Derecho </t>
  </si>
  <si>
    <t>COL0020446</t>
  </si>
  <si>
    <t>BIOLOGÍA MOLECULAR Y BIOTECNOLOGÍA</t>
  </si>
  <si>
    <t xml:space="preserve">Ciencias Biológicas y Afines </t>
  </si>
  <si>
    <t>COL0024042</t>
  </si>
  <si>
    <t>ENTROPIA</t>
  </si>
  <si>
    <t>CUC</t>
  </si>
  <si>
    <t xml:space="preserve">Salud y Bienestar </t>
  </si>
  <si>
    <t>COL0024392</t>
  </si>
  <si>
    <t>GAIA UDES</t>
  </si>
  <si>
    <t xml:space="preserve">Ingeniería y Profesiones Afines </t>
  </si>
  <si>
    <t>COL0026842</t>
  </si>
  <si>
    <t>GNT</t>
  </si>
  <si>
    <t>A1</t>
  </si>
  <si>
    <t>GRUPO NUEVAS TECNOLOGÍAS</t>
  </si>
  <si>
    <t>COL0028319</t>
  </si>
  <si>
    <t>CIMEP</t>
  </si>
  <si>
    <t xml:space="preserve">Ciencias Sociales, Periodismo e Información </t>
  </si>
  <si>
    <t>COL0037935</t>
  </si>
  <si>
    <t>SOCIO-HUMANISTICOS</t>
  </si>
  <si>
    <t>B</t>
  </si>
  <si>
    <t>ESTUDIOS SOCIO-HUMANÍSTICOS</t>
  </si>
  <si>
    <t>Psicología</t>
  </si>
  <si>
    <t>COL0038567</t>
  </si>
  <si>
    <t>BIOGEN</t>
  </si>
  <si>
    <t>COL0040458</t>
  </si>
  <si>
    <t>SCU</t>
  </si>
  <si>
    <t>UDES SCU</t>
  </si>
  <si>
    <t>Medicina</t>
  </si>
  <si>
    <t>COL0041089</t>
  </si>
  <si>
    <t>EVEREST</t>
  </si>
  <si>
    <t>Enfermería y partería</t>
  </si>
  <si>
    <t>COL0043665</t>
  </si>
  <si>
    <t>FISIOTERAPIA-INTEGRAL</t>
  </si>
  <si>
    <t>VAL</t>
  </si>
  <si>
    <t>FISOTERAPIA INTEGRAL</t>
  </si>
  <si>
    <t>COL0048732</t>
  </si>
  <si>
    <t>SALUD_PUBLICA</t>
  </si>
  <si>
    <t>SALUD PÚBLICA UDES</t>
  </si>
  <si>
    <t>COL0049382</t>
  </si>
  <si>
    <t>CLINIUDES</t>
  </si>
  <si>
    <t>COL0053133</t>
  </si>
  <si>
    <t>MICROBIOTA</t>
  </si>
  <si>
    <t>COL0053741</t>
  </si>
  <si>
    <t>GUANE</t>
  </si>
  <si>
    <t>Artes y Humanidades</t>
  </si>
  <si>
    <t>COL0054023</t>
  </si>
  <si>
    <t>CRISALIDA</t>
  </si>
  <si>
    <t>C</t>
  </si>
  <si>
    <t>COL0071463</t>
  </si>
  <si>
    <t>JURISPRUDENCIA</t>
  </si>
  <si>
    <t>GRUPO DE INVESTIGACIÓN EN JURISPRUDENCIA Y ACTIVISMO CONSTITUCIONAL</t>
  </si>
  <si>
    <t>Derecho</t>
  </si>
  <si>
    <t>COL0077509</t>
  </si>
  <si>
    <t>GISOFT</t>
  </si>
  <si>
    <t>Desarrollo y análisis de software y aplicaciones</t>
  </si>
  <si>
    <t>COL0102004</t>
  </si>
  <si>
    <t>NEUDES</t>
  </si>
  <si>
    <t>NEUROCIENCIAS</t>
  </si>
  <si>
    <t>COL0116359</t>
  </si>
  <si>
    <t>CIENCIAUDES</t>
  </si>
  <si>
    <t>COL0120773</t>
  </si>
  <si>
    <t>CIBAS</t>
  </si>
  <si>
    <t>Ciencias Naturales, Matemáticas y Estadística</t>
  </si>
  <si>
    <t>COL0122197</t>
  </si>
  <si>
    <t>EUREKA</t>
  </si>
  <si>
    <t>EUREKA DE INGENIERÍA INDUSTRIAL UDES</t>
  </si>
  <si>
    <t xml:space="preserve">Ingeniería, Industria y Construcción </t>
  </si>
  <si>
    <t>COL0152015</t>
  </si>
  <si>
    <t>GRAVATE</t>
  </si>
  <si>
    <t>Ciencias de la educación</t>
  </si>
  <si>
    <t>COL0171511</t>
  </si>
  <si>
    <t>GEDETEC</t>
  </si>
  <si>
    <t>COL0190642</t>
  </si>
  <si>
    <t>FENIXUDES</t>
  </si>
  <si>
    <t>FÉNIXUDES</t>
  </si>
  <si>
    <t xml:space="preserve">Educación </t>
  </si>
  <si>
    <t>COL0193205</t>
  </si>
  <si>
    <t>GICA-UDES</t>
  </si>
  <si>
    <t>Agropecuario, Selvicultura, Pesca y Veterinaria</t>
  </si>
  <si>
    <t>IE: Investigador Emérito</t>
  </si>
  <si>
    <t>JI</t>
  </si>
  <si>
    <t>LIB</t>
  </si>
  <si>
    <t>VV</t>
  </si>
  <si>
    <t>FOR</t>
  </si>
  <si>
    <t>Gran_area</t>
  </si>
  <si>
    <t>Area</t>
  </si>
  <si>
    <t>Sub_area</t>
  </si>
  <si>
    <t>Unidad_Académica</t>
  </si>
  <si>
    <t>Unidades académicas o administrativas que integran el grupo</t>
  </si>
  <si>
    <t>Integrantes grupo</t>
  </si>
  <si>
    <t>Nombre líder</t>
  </si>
  <si>
    <t>Nivel formación</t>
  </si>
  <si>
    <t>Última categoría convocatoria  957 de 2024 Minciencias</t>
  </si>
  <si>
    <t>Lista proyectos grupo</t>
  </si>
  <si>
    <t>Lista líneas grupo</t>
  </si>
  <si>
    <t>Lista semilleros grupo</t>
  </si>
  <si>
    <t>Nombre grupo</t>
  </si>
  <si>
    <t>Ciencias Sociales</t>
  </si>
  <si>
    <t>Economía y Negocios</t>
  </si>
  <si>
    <t>Negocias y Management</t>
  </si>
  <si>
    <t>Actividad Especial (000 - Bucaramanga)</t>
  </si>
  <si>
    <t>null</t>
  </si>
  <si>
    <t xml:space="preserve">
Ana Emilce Contreras Wilches ( Director de proyecto - Activo)  || 
Carlos Ramon Vidal Tovar ( Investigador - Activo)  || 
Felipe  Prada Zulua ( Director de proyecto - Activo)  || 
Giovanna Elvira Angulo Blanquicett ( Coinvestigador udes - Activo)  || 
Gloria  Almeida Parra ( Investigador - Activo)  || 
Isabel Cristina Rincón Rodríguez ( Investigador - Activo)  || 
Jose de Jesus Nuñez Rodriguez ( Investigador - Activo)  || 
Jose Julian Ariza Moreno ( Investigador - Activo)  || 
Julio Cesar Carvajal Rodriguez ( Coinvestigador udes - Activo)  || 
Lesley Fabiola Bohorquez Chacon ( Coinvestigador udes - Activo)  || 
Luis Humberto Villamizar Garcia ( Coinvestigador udes - Activo)  || 
Luisa Lorena Ramirez Novoa ( Coinvestigador udes - Activo)  || 
Maria Isabel Ortiz Iglesias ( Coinvestigador udes - Activo)  || 
Maria Jenny Albornoz Silva ( Colider de grupo de investigación - Activo)  || 
Marta Eugenia Carreño Gualdron ( Coinvestigador udes - Activo)  || 
May Stefanny Gonzalez Verjel ( Investigador - Activo)  || 
Miller  Riaño Solano ( Coinvestigador udes - Activo)  || 
Roger David Cervantes Ardila ( Coinvestigador udes - Activo)  || 
Sara María Romero  ( Coinvestigador udes - Activo)  || 
Sergio Fernando Garces Arias ( Lider de grupo de investigación - Activo)  || 
Silvia Paola Gallardo Figueroa ( Coinvestigador udes - Activo)  || 
Sindy Mayerly Perez Perez ( Coinvestigador udes - Activo)  || 
Sonia Cristina Oviedo Portilla ( Coinvestigador udes - Activo)  || 
Wilmar  Lizarazo Jerez ( Coinvestigador udes - Activo) </t>
  </si>
  <si>
    <t>SERGIO FERNANDO GARCES ARIAS</t>
  </si>
  <si>
    <t>CATEGORÍA A</t>
  </si>
  <si>
    <t xml:space="preserve"> ¿por Qué la Ansiedad y Depresión Conlleva Al Suicidio en Jóvenes Universitarios?; Análisis de la Capacidad Institucional Del Sector Centralizado de los Municipios Que Conformarían el Distrirto Metropolitano de Bucaramanga; Análisis de la Planificación Estratégica y Gestión Administrativa de las Pequeñas y Medianas (Pymes) Empresas en Región Vii Del Estado de México, México y Bucaramanga, Colombia Ante la Pandemia Generada por Covid-19.; Análisis de la Situación Socioeconómica de Bucaramanga y Su Área Metropolitana por el Flujo Migratorio de las Personas Provenientes de Venezuela Durante el Año 2020, Fase 1.; Análisis Del Desarrollo Empresarial para la  Competitividad Del Sector Calzado en Cúcuta y Su Área Metropolitana; Bioeconomía y Ecosistemas Sostenible para el Producto Agroindustrial Del Cacao en el Municipio de San Vicente de Chucurí, Santander, Colombia.; Buenas Prácticas de Resiliencia Económica, Organizacional y Financiera de los Productores Agropecuarios Del Departamento Norte de Santander para Mitigar las Crisis Del Covid-19 y Del Conflicto Politic; Camino A la Reactivación Económica de las Empresas Del Grupo Tres, Del Sector Comercio, Mediante un Sistema de Información Digital Contable y Tributario.; Child Labor In Colombia: Do Lifestyles And Background Differ Across Activities?; Competencias Docentes de la Facultad de Ciencias Económicas, Administrativas y Contables, para la Evaluación de los Resultados de Aprendizaje de los Estudiantes en la Ruta de Emprendimiento; Competencias Financieras en las Instituciones Públicas de Educación Media en el Municipio de Valledupar; Comportamiento Del Ahorro y la Inversión de los Hogares de Cúcuta Como Indicador de la Calidad Financiera; Construcción de Estrategias Socio-Comunicativas Que Contribuyan A la Prevención de la Violencia Intrafamiliar Desde las Narrativas de Mujeres Que Trabajan en Torno A la Caña Panelera y la Producción de Panela en Convención, Norte de Santander y Moniquirá, Boyacá; Construcción de Propiedades y Criterios para la Selección Entre Estimación Ponderada y No Ponderada por Pesos Muestrales; Contextualización Educativa Desde la Atención Formativa en el Posconflicto A Victimas en el Municipio de Villa Del Rosario; Cultura Del Emprendimiento en la Comunidad de Educación Básica y Media en Colegios Públicos de los Municipios de Norte de Santander; Dataset Abierto sobre el Impuesto de Industria y Comercio (ICA) en Municipios de Colombia: Curaduría, Estandarización y Publicación para Aplicaciones en Inteligencia Artificial; Decisiones Económicas y Estrategicas para la Competitividad de las Mipymes en Santander; Decisiones Económicas y Estratégicas para la Competitividad de las Mipymes en Santander Fase 2; Diagnóstico Empresarial para Identificar el Potencial de Internacionalización de las Mipymes Del Departamento de Santander; Diagnostico Regional de la Migración en Colombia con Enfoque  de Ddhh (2014-2018). Casi Nodo Nororiental: Diagnóstico de la Situación Migratoria de la Población Asentada en las Comunas 3,4,6 y 7 Del Municipio de Cúcuta Durante los Años 2014 A 2018 con Respecto A los Problemas Educativos, de  Salud, Laborales y Situación Juridica; Diagnóstico y Hoja de Ruta para la Transformación de los Sistemas Alimentarios A Partir Del Enfoque Folu: Area Demostrativa de Santander; Diagnóstico y Hoja de Ruta para la Transformación de los Sistemas Alimentarios de Santander A Partir Del Enfoque Folu; Digitalización y Sostenibilidad de las Mipymes en Iberoamérica; Diseño de Estrategias Socioeconómicas para el Desarrollo Local de los Corregimientos Adscritos Al Municipio de Cúcuta; Diseño de Herramienta Didáctica para el Desarrollo de Competencias Creativas en Estudiantes de Básica Primaria A Través de Co-Creación Lúdica.; Diseño de la Infraestructura para el Sistema de Aprovechamiento de Aguas Lluvias para Riego de Jardines, Lavado de Pisos Externos y Uso en Sanitarios, Incluyendo un Sistema de Captación en Piso, en la Universidad de Santander Campus Lagos Del Cacique.; Diseño de un Centro de Conocimiento de la Realidad Social, Económica y Financiera de Bucaramanga y Área Metropolitana en la Universidad de Santander.; Diseño de un Modelo de Diagnostico para Evaluar la Competitividad y Sostenibilidad de las Tiendas Barrio Del Área Metropolitana de Cúcuta; Diseño de un Modelo para la Medición de la Competitividad Del Sector Industrial Del Calzado y la Manufactura Del Cuero en el Área Metropolitana de San Jose de Cúcuta.; Diseño de un Observatorio Agropecuario Del Cambio Climático en el Departamento Norte de Santander (Oacc)”.; Diseño de un Sistema de Medición de Impacto Social de la Catedra de Educación Financiera Desarrollada en el Departamento de Santander Durante el Año 2018; Diseño de una Aplicación Digital para el Proceso de Reconocimiento, Medición, Presentación y Revelación en el Nuevo Modelo Contable de Arrendamientos Bajo Niif; Diseño el Plan Estratégico para el Fomento de la Competitividad y Productividad Del Sector Hortofrutícola de Norte de Santander Basado en la Certificación "Fair Trade"; Diseño, Desarrollo y Prueba de una Herramienta Tecnológica Fintech, Aplicable Al Área Financiera de las Pymes No Bancarizadas en Colombia.; Duración Del Desempleo y Probabilidad de Empleo en Colombia: un Enfoque Global; Efectos Económicos Del Cambio Climatico en la Calidad Del Grano de Café en el Municipio Toledo, Departamento Norte de Santander; Escenarios de Narración Transmedia para la Documentación y Visibilidad Del Patrimonio Cultural de la Ciudad de Bucaramanga; Estimación Del Efecto de las Variables Hidroclimáticas, Sobre la Incidencia de Malaria en Colombia, Usando Sensores Remotos; Estrategias de Sostenibilidad Del Recurso Hídrico en Espacios de Co-Creación Comunitaria para la Conservación de Ecosistemas en la Provincia de Soto Norte. ; Estrategias para Incorporar la Cerámica de Cácota en las Políticas de la Economía Naranja, Como un Patrimonio Cultural de Norte de Santander; Estudio Comparativo de Dos Biomasas Agroindustriales en la Producción de Syngas Mediante Gasificación A Escala Piloto; Estudio de Impacto de los Proyectos de Investigación y Desarrollo e Innovación en el Programa de Administración Financiera Campus Valledupar; Estudio para la Sostenibilidad Socio Económica de un Modelo Agroalimentario para Predios Rurales de Economía Campesina Del Magdalena Medio.; Evaluación de la Influencia de las Variaciones Climáticas y Altitudinales en la Calidad de la Almendra de Sacha Inchi en el Departamento Norte de Santander; Evaluación de la Medida de Pico y Placa en la Ciudad de Bucaramanga”.; Evaluación de la Productividad de los Cultivos de Cafés Especiales Mediante la Optimización de Modelos de Riesgo Agroclimáticos; Evaluación de los Efectos de las Estrategias Pedagógicas Aplicadas en los Cursos Prácticos de la Ruta Formativa en Emprendimiento de la Universidad de Santander Durante el Año 2020; Evaluación de los Impactos de la Pandemia Del Covid-19 en la Seguridad Agroalimentaria Del Departamento Norte de Santander Durante el Período 2020-2021; Evaluación Del Nivel de Sexismo Ambivalente y Su Relación con los Factores Sociodemográficos de los Estudiantes de los Programas de Derecho de la Universidad de Santander (Sede Bucaramanga), de la Universidad de Sevilla (España) y de la Universidad Rey Juan Carlos de Madrid (España).; Evaluación Del Potencial Biofertilizante y Viabilidad Financiera de Consorcios Microbianos para el Cultivo de  Moringa y Sacha Inchi en Condiciones Controladas; Evolución y Volatilidad de las Exportaciones Colombianas; Factores para Internacionalizar el Sector Agroindustrial Del Cacao de la Ciudad de Cúcuta Del Norte de Santander Colombia; Formación Ciudadana, Ética de lo Pública y Corrupción; Fortalecimiento Empresarial de Emprendedores Rurales en el Departamento Norte de Santander; Fortalecimiento Empresarial de Emprendimientos Rurales en el Departamento Del Cesar; Fortalecimiento Empresarial de Emprendimientos Rurales en los Departamentos Norte de Santander y el Cesar; Hacia una Contabilidad Sostenible: Marco Integral para la Gestión Social y Ambiental en las Empresas en América Latina; Identificación de Vocaciones Productivas Actuales y Potenciales de Bucaramanga y Su Área Metropolitana.; Impacto de la Contabilidad Social en los Modelos de Negocios Empresariales; Impacto Financiero Del Covid-19 en las Pymes de Bucaramanga; Impactos Económicos, Ambientales y Sociales Del Cambio Climático en el Sector Agropecuario Del Municipio Bochalema, Departamento Norte de Santander.; Implementación de un Chatbot a través de Inteligencia Artificial mejorando su Grado de Maduración (TRL), que optimice la orientación Tributaria en el Consultorio Empresarial de la Universidad de Santander (UDES) ; Implementación Del Sistema de Evaluación de Impacto Social de la Cátedra de Educación Financiera en la Institución Educativa la Libertad de Bucaramanga Durante los Años 2019 y 2020; Implicaciones de la Ecónomia Del Conocimeinto en los Egresados de la Facultad de Ciencias Económicas Administrativas y Contables de la Udes Cúcuta; Implicaciones Económicas y Comerciales Del Cambio Climático en la Calidad de las Almendras de Cacao en los Departamentos de Arauca y Norte de Santander; Incidencia de Apliación de Estrategías para el Fortalecmiento de las Competencias Emprendedoras en los Estudiantes de la Facultad de Ciencias Económicas, Administrativas y Contables de la Universidad de Santander, Bucaramanga Iv Fase; Innovación en la Gestión de Arrendamientos: Herramienta Tecnológica para el Cumplimiento Normativo de la Niif 16; Innovación Tecnológica en la Gestión Contable y Tributaria,  Factor de Sostenibilidad para el Sector Microempresarial; Inversión en Innovación Como Impulsor Sostenible Del Crecimiento Económico y el Progreso: Análisis Econométrico Del Sector Manufacturero Del Departamento de Santander; Inversión en Innovación Como Impulsor Sostenible Del Crecimiento Económico y el Progreso: Análisis Econométrico Del Sector Manufacturero para el Departamento de Norte de Santander; Inversión en Innovación Como Impulsor Sostenible Del Crecimiento Económico y el Progreso: Análisis Econométrico Del Sector Manufacturero para el Departamento Del Cesar; Inversión en Innovación Como Impulsor Sostenible Del Crecimiento Económico y el Progreso: Análisis Econométrico Del Sector Manufacturero para los Departamentos de Santander, Norte de Santander y Cesar; La Contabilidad Social y Su Impacto en el Modelo de Negocios Empresariales; La Educación Financiera en las Decisiones de Ahorro y Financiamiento de Microempresarios de la Economía Popular en Santander: Un Estudio en Colaboración con el Fondo Nacional de Garantías, primera Fase.; Marco Integral para la Contabilidad Sostenible en las Empresas de América Latina: Retos y Estrategias Desde los Países Líderes; Medición de Variables Del Mercadeo y de Medios Publicitarios, Que Generan Impacto Económico y Social en Empresas de las Zonas de Frontera de Cúcuta, para Soporte Al Diseño de Planes de Mejoramiento.; Metaanálisis de la Imagen de la Mujer y la Igualdad de Género en Medios de Comunicación Impreso de Circulación Diaria Del Oriente Colombiano .; Modelación de la Dinámica Económica de Colombia Desde la Óptica de la Dinámica de Sistemas; Modelo de Medición de Factores de Sostenibilidad Empresarial para Micros, Pequeñas y Medianas Empresas de Servicios Turísticos en Santander y Norte de Santander; NARRATIVAS DE LA IDENTIDAD COMUNITARIA, EN UN SENDERO PRIVILEGIADO POR EL CAMPO: La protección del ambiente, el intercambio cultural y la apreciación de valores históricos y naturales en la Comunidad Agrícola del Municipio Los Patios en el Norte de Santander, Colombia; Nuevo Modelo Contable para Arrendamientos Bajo Ifrs y Su Impacto en la Información Financiera y Tributaria de las Empresas Del Grupo 1 (Plenas), Ante la Situación Generada por Covid-19; Participación de las Mujeres Rurales en Agronegocios en el Departamento de Santander; Participación de las Mujeres Rurales en Agronegocios en el Departamento Del Cesar ; Participación de las Mujeres Rurales en Agronegocios en los Departamentos de Norte de Santander, Santander y el Cesar; Participación de los Microempresarios Venezolanos en la Economia de la Ciudad de Cúcuta, Colombia; Participación de Mujeres Rurales en Agronegocios en el Departamento Norte de Santander; Planteamiento y Aplicación de la Ruta Formativa de Investigación para el Programa de Administración de Negocios Internacionales. Udes Bucaramanga; Programa de Capacitación en Educación Financiera para el Colegio Del Pilar de Bucaramanga, Mediante la Aplicación de Estrategias Orientadas Al Fortalecimiento de las Competencias Relacionadas con Educación Finanicera Fase I; Propuesta Dedicada A la Elaboración de Ladrillo A Base de Cascarilla de Arroz en Norte de Santander; Propuesta para Fortalecer las Capacidades de los Migrantes y Retornados Asentados en las Comunas 6 y 7 Del Municipio de Cúcuta con el Fin de Generar Emprendimientos Que Propicien el Desarrollo Socioeconómico de la Región.; Prototipo-Software con la Metodología y las Herramientas Que Faciliten el Proceso de Internacionalización de las Mipymes Del Sector de las Tecnologías de la Información de Norte de Santander y Santander; Proyecto de Prueba; Prueba Obtención de un Biofertilizante A Partir Del Biochar de Cápsulas y Cáscaras de Sacha Inchi (Plukenetia Volubilis L.) y un Consorcio Microbiano Pgpm; Raíces de pertenencia al Territorio en Asociaciones de Mujeres Emprendedoras en el Departamento Norte de Santander; Resignificación de los Imaginarios Culturales Rurales para la Construcción de Acciones Pedagógicas Encaminadas A la Regeneración de la Biodiversidad y la Cuenca Hídrica Del Rio Pamplonita en el Municipio de Bochalema Norte de Santander; Retos en la Cuantificación de Costos Sociales y Ambientales, Bajo la Nueva Normatividad Contable y Financiera, en las Empresas Industriales de Bucaramanga; Sistema de Contabilidad Ambiental para la Universidad de Santander </t>
  </si>
  <si>
    <t xml:space="preserve"> Desarrollo y Competitividad    </t>
  </si>
  <si>
    <t xml:space="preserve"> Conexión; Emprendimiento y Gestión Empresarial -Ege; Finanzas Aplicadas; Frontera -Semillero de las Ciencias Financieras, Administrativas, Contables y Económicas-; Gestión Financiera; Innovation; La Gesta ; Óptimo ; Productividad y Competitividad Internacional; Semillero de Investigación en Comercio Exterior; Unidad de Apoyo de Investigacion Financiera</t>
  </si>
  <si>
    <t>Ciencias Naturales</t>
  </si>
  <si>
    <t>Ciencias Biológicas</t>
  </si>
  <si>
    <t>Biología Celular y Microbiología</t>
  </si>
  <si>
    <t>Facultad  de Ciencias Médicas y de la Salud</t>
  </si>
  <si>
    <t xml:space="preserve"> Unidad: Medicina (018 - Bucaramanga)</t>
  </si>
  <si>
    <t xml:space="preserve">
Ana Elvira Farfán García ( Coinvestigador udes - Activo)  || 
Edgardo Samuel Barraza Verdesoto ( Coinvestigador udes - Activo)  || 
Efrain Hernando Pinzon Reyes ( Coinvestigador udes - Activo)  || 
Jenniffer  Cruz Laiton  ( Coinvestigador udes - Activo)  || 
Miguel Orlando Suarez Barrera ( Coinvestigador udes - Activo)  || 
Nohora Juliana Rueda Forero ( Lider de grupo de investigación - Activo)  || 
Nydia Paola Rondon Villarreal ( Coinvestigador udes - Activo)  || 
Silvia Paola Granados Berrio ( Auxiliar de investigación - Activo) </t>
  </si>
  <si>
    <t>NOHORA JULIANA RUEDA FORERO</t>
  </si>
  <si>
    <t xml:space="preserve"> Maestría; Universitaria</t>
  </si>
  <si>
    <t xml:space="preserve"> Análisis de la Actividad Inhibitoria de Quorum-Sensing de Proteínas Variantes de la Lactonasa Aiia de Bacillus Thuringiensis Sobre la Expresión de los Factores de Virulencia Mediados por Quorum Sensing en Pseudomonas Aeruginosa.; Análisis Molecular y Determinación Tóxica de Muteínas Cry Obtenidas por Aproximaciones Racionales y No Racionales.; Caracterización de Enzimas Acilasas y Lactonasas con Potencial en la Inhibición de Quórum Sensing; Caracterización de la Actividad Anticancerígena de Parasporinas Producidas por Diferentes Cepas de Bacillus Thuringiensis (Bt).; Cinética de la Proliferación de Células de Schwann en Nervios Lesionados de Conejos: Estudio Inmunohistoquímico y Molecular; Desarrollo de Nanobioconjugados de Péptidos Mutados Cry11 de Bacillus Thuringiensis, y Su Determinación Larvicida en Aedes Aegypti.; Desarrollo de una Herramienta Software para el Análisis de Interacciones Proteína-Proteína. Caso de Estudio: Parasporina Ps2aa1– Aminopeptidasa N”.; Determinación de la Interacción Molecular de la Kisspeptina10 y Su Receptor Kissr Asociado; Diseño y Filtrado Computacional de Moléculas Híbridas con Potencial Actividad Inhibitoria Del Sistema de Comunicación Celular de Pseudomonas Aeruginosa; Docking Molecular en la Búsqueda de Inhibidores Potenciales de la Oligomerización de A-Sinucleína en la Enfermedad de Parkinson; Efecto Inhibitorio de Quorum Sensing (Qs) por Lactonasas y Acilasas en Cepas de Escherichia Coli Patógenas y No Patógenas. Alternativa para el Control Del Biofilm en Bacterias Fármaco Resistentes; Estrategia Computacional para el Diseño de Nuevas Proteínas Cry de Bacillus Thuringiensis Mediante el Análisis de la Formación de Estructuras Secundarias de Adn en Experimentos de Evolución Dirigida.; Estudio Comparativo Del Efecto de un Bioinsecticida y un Insecticida Químico Sobre las Propiedades Fisicoquímicas y la Microbiota de un Suelo Cultivado con Ananás Comosus (Piña) Del Municipio de Lebrija, Santander; Estudio de la Expresión de Th, Pgp 9.5, Bdnf y Calmodulina en el Cerebro Anterior de Alevinos y Juveniles de Cachama Blanca (Pyaractus Brachypomus) para el Establecimiento de un Nuevo Modelo para el Estudio Del Papel de Toxinas Ambientales en el Desarrollo de la Enfermedad de Parkinson.; Estudio de Metilomica Del Adn Del Hábito de Fumar en Fuentes Celulares Relacionadas con el Sistema Estomatognático; Evaluación de Nuevas Alternativas Terapéuticas A Partir de la Interrupción de los Sistemas de Comunicación (Quórum Sensing) de Patógenos Multidrogoresistentes Prevalentes en el Nororiente Colombiano y Divulgación de los Hallazgos A Personal de Salud, Mediante una Estrategia Educativa Digital.; Identificación de Compuestos Naturales con Alta Afinidad con los Blancos Zeb1/Sox2/Olig2 Involucrados en el Desarrollo de Cáncer de Cerebro.; Identificación de Determinantes Moleculares Mediante Modelado Computacional Asociados A la Actividad Tóxica de Proteínas Cry11 de Bacillus Thuringiensis; Modelado Computacional de Variantes Cry11aa de Bacillus Thuringiensis y Sus Interacciones con Receptores de Membrana Alp1 y Caderina”; Modelos celulares 3D de cáncer colorrectal para la evaluación de proteínas parasporales de Bacillus thuringiensis con potencial terapéutico.; Proyecto de Prueba; Proyecto de Pruebas Lmk; Síntesis y Evaluación de Fragmentos Peptídicos de Unión A Receptor Derivados de la Toxina Parasporina-2 Frente A Líneas Celulares Cancerígenas; SISTEMA BASADO EN INTELIGENCIA ARTIFICIAL SUSTENTADO EN DATASETS DE BASES DE DATOS ESPECIALIZADAS PARA ENCONTRAR CORRELACIONES ENTRE LA ENFERMEDAD DE ALZHEIMER Y LA PÉRDIDA DE FUNCIÓN DE LAS LIPOPROTEÍNAS </t>
  </si>
  <si>
    <t xml:space="preserve"> Biología Computacional    ; Bioprospección    ; Ingeniería de Proteínas, Proteómica y Mejoramiento Genético de Proteínas    ; Sistemas de Inhibición de Quorum Sensing    </t>
  </si>
  <si>
    <t xml:space="preserve"> Nova Ciencia</t>
  </si>
  <si>
    <t>BIOMOL - BIOLOGIA MOLECULAR Y BIOTECNOLOGIA</t>
  </si>
  <si>
    <t>Ciencias Médicas y de la Salud</t>
  </si>
  <si>
    <t>Ciencias de la Salud</t>
  </si>
  <si>
    <t>Salud Pública</t>
  </si>
  <si>
    <t xml:space="preserve"> Unidad: Terapia Ocupacional (010 - Cúcuta); Unidad: Psicología (021 - Cúcuta); Unidad: Medicina (018 - Cúcuta); Unidad: Fisioterapia (014 - Cúcuta); Unidad: Enfermeria (028 - Cúcuta)</t>
  </si>
  <si>
    <t xml:space="preserve">
Alejandra Del Mar Rodriguez Pena ( Coinvestigador udes - Activo)  || 
Alejandra Del Mar Rodriguez Pena ( Coinvestigador udes - Activo)  || 
Astrid Carolina Rozo Sanchez ( Tutor de semillero de investigación - Activo)  || 
Carly Gabriela Vera Fernandez ( Tutor de semillero de investigación - Activo)  || 
Cristina María Villa Badillo ( Tutor de semillero de investigación - Activo)  || 
Daisy Johanna Contreras Paredes ( Coinvestigador udes - Activo)  || 
Delia Alejandra Madriz Rodriguez ( Tutor de semillero de investigación - Activo)  || 
Diego Andres Rivera Porras ( Tutor de semillero de investigación - Activo)  || 
Diego Oswaldo Angarita Espinosa ( Coinvestigador udes - Activo)  || 
Emerson Amid Barrera Garcia ( Investigador principal udes - Activo)  || 
Esneyder Alfonso Vega Rincon ( Investigador principal udes - Activo)  || 
Gabriel Angel Ramirez Rodriguez ( Asesor externo internacional - Activo)  || 
Gloria Cecilia Carrascal Jacome ( Investigador - Activo)  || 
Hector Daniel Vanegas Saenz ( Investigador principal udes - Activo)  || 
Jaenkarlyn Jailin Contreras Chacón ( Tutor de semillero de investigación - Activo)  || 
Jaenkarlyn Jailin Contreras Chacón ( Tutor de semillero de investigación - Activo)  || 
Javier  Cortes Ramirez ( Investigador principal udes - Activo)  || 
Jennifer  Silva Mateus ( Investigador principal udes - Activo)  || 
Jhon Alexander Rojas Caballero ( Investigador principal udes - Activo)  || 
Juan Diego Wilches Vega ( Coinvestigador udes - Activo)  || 
Leydi Diana Villamizar Barrera ( Investigador principal udes - Activo)  || 
Liliana  Contreras Manrique ( Tutor de semillero de investigación - Activo)  || 
Lina Marcela Balaguera Gualdron ( Profesor área profesional específica - Activo)  || 
Lisette Katherine Cardenas Sandoval ( Investigador principal udes - Activo)  || 
Ludy Yanneth Peñaranda Solano ( Investigador principal udes - Activo)  || 
Maria Alexandra Amaya Mancilla ( Investigador principal udes - Activo)  || 
Marta Zulay  Gualdron ( Investigador principal udes - Activo)  || 
Maryely  Gonzalez Perez ( Coinvestigador udes - Activo)  || 
Michael Alexander Omaña Velasco ( Profesor área profesional específica - Activo)  || 
Monica Andrea Amador Ariza ( Coinvestigador udes - Activo)  || 
Nathaly Johanna Estupinan de Alba ( Coinvestigador udes - Activo)  || 
Nohora  Ortega Orteg ( Coinvestigador udes - Activo)  || 
Nohora Elizabeth Alvarez Rey ( Investigador principal udes - Activo)  || 
Olga Maria Paris Pineda ( Lider de grupo de investigación - Activo)  || 
Oscar Dario Medina Ortiz ( Investigador principal udes - Activo)  || 
Richard Daniel Claro Ceballos ( Coinvestigador udes - Activo)  || 
Rolando Andres Torrado Arevalo ( Tutor de semillero de investigación - Activo)  || 
Sandra Milena Carrillo Sierra ( Investigador principal udes - Activo)  || 
Viannys Stepfany Lamprea Florez ( Asesor interno udes - Activo)  || 
Viviana Karina Hernandez Vergel ( Investigador principal udes - Activo)  || 
Wilmer Argenis Velasco Moreno ( Investigador principal udes - Activo)  || 
Yenni Magaly Moreno Sanchez ( Investigador principal udes - Activo)  || 
Yordis  Fernandez Garcia ( Tutor de semillero de investigación - Activo)  || 
Yoryany  Ortiz Carras ( Coinvestigador udes - Activo)  || 
Zulmary Carolina Nieto Sanchez ( Investigador principal udes - Activo) </t>
  </si>
  <si>
    <t>OLGA MARIA PARIS PINEDA</t>
  </si>
  <si>
    <t xml:space="preserve"> Especialización Universitaria; Universitaria</t>
  </si>
  <si>
    <t xml:space="preserve"> Actitud Hacia la Psiquiatría de los Estudiantes de Medicina de la Universidad de Santander (Udes); Adaptación Transcultural y Validación de la Estrategia de Mitigación de Barreras para Acceder A los Servicios de Rehabilitación Cardíaca Creada por el Iccpr; Afectación de las Destrezas de Ejecución y la Edad Madurativa de Niños y Niñas Del Programa Valientes Del Futuro con Antecedente de Infección Materna por el Virus Zika Durante Gestación.; Ambiente y Alimentos Contaminados con Mohos y Su Relacion con el Decline Cognitivo en el Adulto Mayor; Analisis de la Rura de Atención Primaria en Salud Del Adulto Mayor Fundamentada en la Utonomía y Su Participación Ocupacional en el Municipio de los Patios; Asociación Entre los Determinantes Sociales de la Salud y el Perfil de Funcionamiento de Personas con Discapacidad Del Municipio de los Patios, Norte de Santander; Caracterización de las Competencias Tic Según el Modelo de Mineducación en Docentes y Estudiantes Del Programa de Terapia Ocupacional; Comportamiento Del Ahorro y la Inversión de los Hogares de Cúcuta Como Indicador de la Calidad Financiera; Comportamiento Sedentario, Prevalencia de Actividad Física y Factores Asociados en Escolares de 9 A 12 Años de un Colegio Público de la Ciudad de Cúcuta; Contextualización Educativa Desde la Atención Formativa en el Posconflicto A Victimas en el Municipio de Villa Del Rosario; Deserción, Permanencia y Tiempos de Graduación de los Estudiantes de Fisioterapia de la Universidad de Santander Campus Cúcuta en el Periodo 2015-2021; Determinación de la Seroprevalencia y Respuesta Inmune A Flavivirus Zika y Dengue en Estudiantes de la Universidad de Santander, Cúcuta Colombia; Determinantes de Salud Que Impactan A la Población Migrante Pendular Del Centro de Esperanza, con Base en los Principios de la Política Publica en Salud en Colombia; Determinantes Sociales de la Salud de Mayor Incidencia en la Deserción Escolar de las Niñas y Niños de la Institución Educativa Monseñor Jaime Prieto Amaya en Cúcuta, Norte de Santander; Diagnóstico y Hoja de Ruta para la Transformación de los Sistemas Alimentarios de Santander A Partir Del Enfoque Folu; Diagnóstico y Hoja de Ruta para la Transformación de los Sistemas Alimentarios de Santander A Partir Del Enfoque Folu: Sistematización de Experiencias para Norte de Santander; Diferencias de Fuerza Prensil, Variabilidad de la Frecuencia Cardiaca y la Salud Mental en Personas con y sin Enfermedad Cardiovascular en la Ciudad de Cúcuta; Diseño de un Programa de Orientacion Vocacional Dirigido A los Adolescentes y Jovenes en Conflicto con la Ley de las Instituciones Ong Crecer en Familia y Fundación Familiar Faro de Cucuta, Norte de S; Diseño de una Ruta de Acción Psicosocial y Ocupacional Fundamentado en la Política Pública 2020 – 2030 para la Inclusión Social de las Personas Del Centro de Atención Integral para Habitante de Calle ; Efectividad de una Aplicación Móvil para la Rehabilitación de Pacientes con Amputación de Miembro Inferior Que Asisten A los Puestos de Salud de Norte de Santander 2022; Efecto de una Intervención para Mitigar las Barreras en la Participación y Adhesión A los Programas de Rehabilitación Cardíaca, un Ensayo Clinico Aleatorizado; Efecto de una Intervención para Mitigar las Barreras en la Participación y Adhesión A los Programas de Rehabilitación Cardíaca, un Ensayo Clínico Aleatorizado ; Efecto Del Ejercicio Aeróbico en la Composición Corporal y Aptitud Física en Adolescentes de 11 A 17 Años Del Colegio Integrado Fe y Alegría Del Municipio de los Patios, 2020.; Efectos de un Programa de Promoción de Hábitos Saludables Dirigido A Padres de Familia y Profesores de Escolares de Primaria en una Institución de Cúcuta”; El Aprendizaje Experiencial en el Fortalecimiento de las Habilidades Sociales de Adolescentes y Jóvenes Pertenecientes A Instituciones Educativas en Cúcuta Norte de Santander, Aportes de Terapia Ocupacional para la Convivencia y Paz.; Estado de las Condiciones de Salud Mental y Su Influencia en el Desempeño Académico de Estudiantes de Prácticas de la Facultad de Ciencias Médicas y de la Salud de la Universidad de Santander Campus Bucaramanga  ; Estado de las Condiciones de Salud Mental y Su Influencia en el Desempeño Académico de Estudiantes de Prácticas de la Facultad de Ciencias Médicas y de la Salud de la Universidad de Santander Campus Cúcuta; Estilos de Pensamiento y Cambio Organizacional en los Funcionarios Administrativos de la Universidad de Santander Campus Cúcuta; Estrategia de Comunicación Digital para la Divulgación Del Aprovechamiento de Residuos Agrícolas de Cacao y Caña, en un Modelo de Economía Circular. Dirigido A Comunidades Rurales y Urbanas de los Santanderes y Cesar; Estrategias para la Prevención de Enfermedades Prevalentes de la Infancia A Través de la Identificación y Control de Factores de Riesgo Modificables  en los Hogares Comunitarios Tradicionales Del Instituto Colombiano de Bienestar Familiar, Ubicados en los Barrios Chapinero, San Mateo  y Cundinamarca Del Municipio de Cúcuta. 2017; Estrategias Que Promuevan un Entorno Laboral Saludable Que Mejoran las Condiciones Entorno A las Enfermedades Crónicas No Transmisibles en los Trabajadores de una Empresa Del Sector Privado en Conveni; Estudio Comparativo Del Estado de las Condiciones de Salud Mental y Su Influencia en el Desempeño Académico de Estudiantes de Prácticas de la Facultad de Ciencias Médicas y de la Salud de Universidades Colombianas y una Universidad de Costa Rica. ; Evaluación de Competencias Steam en la Práctica Docente: un Diagnóstico Comparativo Entre Educadores en Ejercicio y en Formación en Cúcuta ; Evaluación Del Bienestar Subjetivo de los Adultos Mayores de las Asociaciones de la Alcaldía de los Patios, Norte de Santander; Eventos Adversos   Asociados A la Asistencia Hospitalaria y Cultura de Seguridad en las Unidades Básicas de la Ese Imsalud de Cúcuta, 2020; Explorando el Impacto de la Relación Del Dominio Afectivo de Estudiantes Hacia las Matemáticas y la Práctica Pedagógica de Docentes en Educación Básica y Media Técnica; Factores Afectivos, Procedimentales y Pedagógicos en la Educación Steam, 2025; Factores de Riesgo Asociados A Sintomatología de Desordenes Musculo Esqueléticos en una Empresa de Fabricación de Cerámica; Factores de Riesgo Socioambiental Asociados A Enfermedades Respiratorias en Niños y Niñas de los Hogares Infantiles y Centros de Desarrollo Infantil Del Instituto Colombiano de Bienestar Familiar en Cúcuta 2019; Factores de Riesgo Socioambientales Determinantes de la Infeccion por Covid-19 en Cucuta; Formación Postgradual, Condiciones Laborales, Competencias Específicas y Transversales Desarrolladas por los Graduados 2015 - 2020 Del Programa de Fisioterapia de la Universidad de Santander Campus Cúcuta; Formulación de Estrategias Educativas de Atención Integral para Adolescentes Trabajadores de 15 A 17 Años Del Municipio de Cúcuta, Norte de Santander; Habilidades para la Vida y Estilos de Vida Saludable en Estudiantes de Primer y Segundo Semestre de la Universidad de Santander Campus Cúcuta.; Influencia Del Desarrollo de los Reflejos en el Aprendizaje de la Primera Infancia Desde Experiencias de Maestros y Profesores Universitarios.   ; La Experiencia de Jóvenes Universitarios en Bucaramanga Al Intentar Controlar y Bajar de Peso, Narrada Mediante Foto-Voz.; Modelo de Apoyo A la Rehabilitación Del Paciente Amputado de Miembro Inferior Basado en Concepto de Autogestión Del Usuario Utilizando Tecnologías Móviles en Instituciones de Salud de la Ciudad de Cúcuta.; Modelo Operativo de Gestión Del Registro Poblacional de Cáncer de la Ciudad de Cúcuta Como Programa de Investigación en la Universidad de Santander Campus Cúcuta; Nivel de Adopción Del Rol Materno en Madres Adolescentes Según el Modelo de Ramona Mercer. Caso: Unidad Básica Materno Infantil la Libertad; Nivel de Estrés, Ansiedad y Depresión de los Habitantes de la Ciudad de Cúcuta Frente Al; Niveles de Actividad Física, Calidad de Vida Relacionada con la Salud, Autoconcepto Físico e Índice de Masa Corporal de los Adultos Mayores Del Municipio de los Patios, 2022; Plan de Gestión Ambiental para el Manejo de los Residuos Hospitalarios Generados en las Áreas Internas de Servicio y Atención Médica en el Hospital de los Patios, Año 2018; Prácticas Sexuales de los Estudiantes de Pregrado, un Estudio Descriptivo Sobre Vih/Sida; Programa de Actividad Física para Escolares Entre 11 y 14 Años de una Institución Educativa Pública Del Municipio de los Patios, 2019”.; Programa Educativo para la Inclusión de Estudiantes Universitarios con Discapacidad: Estudio de Caso - Parálisis Cerebral Espástica Fase I; Programa Sensorial en Impacto Al Desarrollo Integral Dirigido A los Niños de 0 A 3 Años Del Centro de Desarrollo Infantil Cdi Nuevo Amanecer de la Ciudad de Cúcuta, Norte de Santander; Relación Del Nivel de Actividad Física, Características Sociodemográficas y la Obesidad de los Trabajadores de una Empresa de Cerámica Norte de Santander, 2022.; Relación Entre el Nivel y los Dominios de la Actividad Física en Escolares de 9 A 12 Años Que Pertenecen A Instituciones Educativas Públicas Del Municipio de los Patios, Cúcuta 2017; Significaciones Imaginarias Sobre la Profesión de Enfermería en Estudiantes Que Ingresan A la Universidad de Santander Campus Cúcuta; Sistema Piloto de Vigilancia Centinela Del Dengue en Centros de Salud de Cali, Villavicencio y Cúcuta, Colombia.; Uso de las Tecnologías de la Información y la Comunicación y Su Impacto Según los Estilos de Aprendizaje Desde el Modelo de la Programación Neurolingüística en los Estudiantes de la Universidad de Santander.; Validación de Acciones de Intervención de Desarrollo Social Comunitario y Factores Ambientales Influyentes en Población Femenina Migrante Del Asentamiento el Talento de la Ciudad de Cúcuta; Validación de Acciones de Intervención de Desarrollo Social Comunitario y Factores Ambientales Influyentes en Población Femenina Migrante Del Asentamiento el Talento de la Ciudad de Cúcuta Norte de Santander</t>
  </si>
  <si>
    <t xml:space="preserve"> Biomecánica    ; Comunidad    ; Cuidado de la Salud    ; Neurodesarrollo    </t>
  </si>
  <si>
    <t xml:space="preserve"> Bios (Cúcuta); Habitus; Neurociencias; Psy-Metrics; Reside T.O. Re-Significación Del Desempeño Terapia Ocupacional; Sejisap - Jovenes Investigadores en Salud Pública; Semillero de Investigación en Fisioterapia; Sien ; Sinapsis; Sito - Semillero de Investigacion de Terapia Ocupacional; Violencia Desarrollo Neurociencia Social</t>
  </si>
  <si>
    <t>ENTROPIA - GRUPO DE INVESTIGACION EN BIOMECANICA, COMUNIDAD Y NEURODESARROLLO</t>
  </si>
  <si>
    <t>Ingeniería y Tecnología</t>
  </si>
  <si>
    <t>Ingeniería Ambiental</t>
  </si>
  <si>
    <t>Ingeniería Ambiental y Geológica</t>
  </si>
  <si>
    <t>Facultad de Ingenierías</t>
  </si>
  <si>
    <t xml:space="preserve">
Ana Maria Mantilla Moreno ( Investigador - Activo)  || 
Carlos Fernando  Lozano Lozano  ( Investigador - Activo)  || 
David Alfonso Patiño Ruiz ( Investigador principal udes - Activo)  || 
Diego Rafael Joya Cardenas ( Investigador - Activo)  || 
Jaqueline  Saavedra Rueda ( Investigador - Activo)  || 
Javier Alberto Sanabria Cala ( Investigador - Activo)  || 
Jesus Manuel Epalza Contreras ( Investigador - Activo)  || 
Jorge Arley Meza Ortiz ( Investigador - Activo)  || 
Jose Antonio Delgado Monrroy ( Investigador - Activo)  || 
Juan David Gutierrez Torres ( Investigador - Activo)  || 
Maya Sian Caycedo Garcia ( Lider de grupo de investigación - Activo)  || 
Nadia Fernanda Mantilla Suarez ( Investigador - Activo)  || 
Orlando  Palomino Prieto ( Investigador - Activo)  || 
Paula Andrea Mendoza Rojas ( Investigador - Activo)  || 
Robinson Andres Mancilla Estupiñan ( Investigador - Activo)  || 
Sergio  Urbano Contreras ( Investigador - Activo)  || 
Vicente Leonel Martínez Díaz ( Investigador - Activo)  || 
Walter  Pardave Livia ( Investigador - Activo)  || 
Yenis Del Carmen González Correa ( Investigador - Activo) </t>
  </si>
  <si>
    <t>DIEGO RAFAEL JOYA CARDENAS</t>
  </si>
  <si>
    <t xml:space="preserve"> Tomado Desde Orcid, No Asociado por Investigador</t>
  </si>
  <si>
    <t xml:space="preserve"> (Consultoría) Solución de Bioconversión Orgánica con Larvas de Mosca Soldado Negro para Generación de Proteína A Partir de la Degradación de Subproductos Del Proceso de Extracción de Aceite de Palma Africano; Adaptación de Áreas de Explotación Minera A Parque Temático Geológico-Minero-Ambiental en Vetas y California; Análisis de la Relación de la Ocurrencia de Leptospirosis con la Precipitación y la Temperatura en las Principales Ciudades de Colombia; Análisis de la Respuesta Sísmica de los Suelos de Bucaramanga para Sismos con Magnitud Mayor A 5.0 Entre los Años 2013 y 2018 Registrados por la Red de Acelerógrafos Del Observatorio Sismológico Udes-Cdmb; Análisis Del Efecto Retardado de la Exposición A Corto Plazo A Aerosoles Contaminantes y las Atenciones de Infarto Agudo Del Miocardio en Salas de Emergencia, en las Principales Ciudades de Colombia; Análisis Del Método Geofísico Masw, para Caracterización Dinámica de los Suelos de la Meseta de Bucaramanga; Análisis Dinámico No Linear de Estructuras Tipo Cascaron de Formas Libres en Concreto Armado; Análisis Económico de la Auto-Generación de Energía Fotovoltaica para el Tratamiento de Aguas Residuales en Colombia; Análisis Técnico, Ecnonómico y Ambiental de los Procesos de Gasificación y Digestión Anaerobia de Residuos Sólidos Urbanos en Colombia; Aplicativo App Denominado Aire+Limpio=10r para Compensar Huella de Carbono de Personas Individuales Mediante Proyectos Sumideros de Co2.; App Sacoudes Sistema de Aportes Ambientales de la Comunidad Universitaria Udes Mediante 10r; App Simbu Sistema de Monitoreo de Pm2.5 de Bucaramanga Mediante Dispositivos Electrónicos de Bajo Costo; Caracterización Física, Química y Microbiológica de Compuestos Causantes Del Grado de Biodeterioro en Edificaciones Antiguas y Posibles Bienes de Interés Cultural en la Ciudad de Bucaramanga; Charalá, Santander Diseño de Ruta Turística Cultural Como Herramienta de Empoderamiento Comunitario.; Comparación de los Umbrales de Lluvia Detonante de Deslizamientos, Bajo el Efecto Del Fenómeno de la Niña en Santander; Construcción de un Electrofloculador  para Cultivos Microalgales; Construcción de un Sistema de Fitoremediación para Acuacultura; Del modelo validado a la operación inteligente: gemelo digital del sistema fotovoltaico del Edificio Guane con ciencia de datos para eficiencia energética; Desarrollo de Nanomateriales Fotocatalíticos Basados en Dióxido de Titanio y Óxido de Zinc para Su Aplicación en Sistemas de Reacción Fotocatalítica Orientados A la Ruptura de Agua en la Producción de Hidrogeno Ambientalmente Sostenible; Desarrollo de semiconductores catalíticos basados en elementos abundantes para las reacciones de evolución de hidrógeno y oxígeno, hacia sistemas de electrólisis tipo PEM; Desarrollo de un Modelo de Gestión de Turismo de Naturaleza Comunitario para el Área de Influencia Del Embalse de Topocoro, Procedente de Distintas Áreas de Gestión y Divulgación Científica para el Impulso de la Participación Activa de la Sociedad y el Uso Sostenible Del Patrimonio Natural. ; Desarrollo de un Modelo Productivo de Probióticos para la Industria Avícola Integrando Herramientas de Lean Manufacturing, con el Fin de Optimizar el Proceso de Producción y Evaluar el Impacto Ambiental Asociado.; Desarrollo de un Sistema A Nivel de Escala de Laboratorio para Generación de Hidrógeno Mediante Ruptura Fotocatalítica de la Molécula de Agua Utilizando Fotocatalizadores Basados en Dióxido de Titanio y Óxido de Zinc.; Determinación de los Periodos Fundamentales Del Suelo en 4 Estaciones de la Red de Acelerógrafos de Bucaramanga; Determinantes Ambientales y Sociales de la Ocurrencia de Conglomerados Espaciotemporales de Malaria en Colombia; Digestión Anaeróbica de Corteza de Pulpa de Cacao y Bagazo de Caña A Través de la Obtención y Adaptación de un Consorcio de Microorganismos con Actividad Lignocelulósica.; Diseño conceptual de electrolizador tipo PEM con materiales nobles de baja carga y arquitectura funcional diferenciadora; Diseño de Planta Piloto para la Producción de Pectina A Partir de Residuos de Cítricos Del Municipio de Lebrija Santander; Diseño de un Prototipo de Incubadora Avícola Automatizada y Modular, Abastecida con Energía Solar Fotovoltaica; Diseño de un Sistema de Monitoreo de Bajo Costo para el Seguimiento Del Cultivo de Microalgas; Diseño de un Sistema para Valorización de Material Orgánico y Obtención de Biocarbón A Través Del Proceso de Pirolisis; Diseño Hidráulico y Creación de un Prototipo de Potabilización de Agua en Edificaciones Rurales de Uso Educativo, Aplicando Tecnología Didáctica e Interactiva.; Diseño Sísmico de Muros No Estructurales de Concreto con Reemplazo de Agregados por Grano de Caucho Reciclado; Dispositivo electrónico de bajo costo y app para medición de ICA Índice de calidad de aire ; Distribución Potencial de las Especies de Vectores de Leshmaniais Cutánea y Su Relación con Episodios de el Niño y la Niña en Colombia; Eco-Epidemiología de Enfermedades Infecciosas Tropicales; Eco-Epidemiología de Leptospirosis en Colombia; Economía Circular Desde el Hogar con Energías Limpias Derivadas de Residuos Orgánicos; Efectos en la Salud por Btx de Emisiones Vehiculares en Bucaramanga y Cúcuta, con Mediciones de Módulos Electrónicos de Bajo Costo Basado en Ia; Estimación de la Asociación Existente Entre el Ciclo el Niño-La Niña y la Ocurrencia de Leishmaniasis Cutánea en Colombia Durante el Periodo 2007-2021 ; Estrategias de Marketing para el Turismo Natural Comunitario en el Aid Del Embalse de Topocoro A Partir de las Potencialidades de la Biodiversidad, las Practicas Culturales y los Hitos Naturales Del Territorio.; Estudio de la Acción Fungicida de la Sal Borica Rica en Zinc Subproducto de la Desactivación de Baterias Alcalinas Agotadas en Paneles de Celulosa; Estudio para el Aprovechamiento de Lodos de Relave Minero Como Agente Cementante para la Construcción Piloto de Placa Huella  en la Infraestructura Vial en el Municipio de Vetas Santander; Estudio/Creación de Placa Huella Modulares con Simbología Precolombina y Material Del Reúso de Residuos Mineros de Vetas Santander; Evaluación de la Sal Borica Rica en Zinc Subproducto de la Desactivación de Baterias Alcalinas Agotadas Como Retardante de Fuego en Panales de Celulosa; Evaluación de la Sostenbilidad Ambiental Mediante un Análisis de Ciclo de Vida de los Procesos de Síntesis por Química Verde de las Nanopartículas de Dióxido de Titanio y Óxido de Zinc  ; Evaluación de las Cantidades de Materiales de Construcción de Distintos Sistemas Estructurales para Viviendas de Baja Altura en Zona de Amenaza Sísmica Alta; Evaluación Del Estado Actual de las Cimentaciones Profundas Construidas para Edificaciones en la Meseta de Bucaramanga; Evaluación Del Reemplazo Parcial de Cemento por Cenizas de Residuos de Tabaco Como Material Aglomerante en el Concreto Hidráulico; Identificación de Sitios de Riesgo de Deslizamiento Inducidos por el Fenómeno de la Niña; Las 10 Erres: Estrategia Proactiva para Genrerar Cambios en el Comportamineto Humano Que Incidan en una Mejora de la Calidad de Aire.; Mejora Del Prototipo Didáctico de Máquina Compactadora de Bloques de Tierra Como Elementos Decorativos y de Construcción; Mitigación de Pasivos Ambientales Mediante Tratamiento de Drenajes Ácidos de Minas Auríferas con Filtros Obtenido de Residuos Mineros; Modelación de Voc (Compuestos Orgánicos Volátiles) en Área Metropolitana de Bucaramanga Mediante Software Isc Aermod; Modelo de Causalidad de la Dispersión de los Gases Btx Emitidos en las Estaciones de Servicio de Combustibles y Efectos de los Gradientes de Exposición Del Personal Circundante en la Ciudad de Bucaramanga; Módulo de Reuso de Sulfato de Aluminio A Partir de Lodos de Potabilización de Amb con Enfoque de Economía Circular; Monitoreo de la Red Solar Fotovoltaica y Estación Meteorológica de la Universidad de Santander Udes; Nanofotocatalizador basado en dióxido de titanio para vectores energéticos: diseño guiado por métricas, síntesis de baja complejidad y prueba de concepto en laboratorio; Normalización y documentación FAIR del acervo nacional de calidad del aire (IDEAM/SISAIRE, 2011–2023): conjunto de datos semántico reutilizable para explotación tecnológica; Obtención de un Mapa Del Riesgo de Transmisión de Leishmaniasis en Colombia, A Partir de la Presencia de Vectores y Hospederos; Optimización Del Diseño Del Equipo de Pretratamiento Termomecánico Continio de Biomasa Lignocelulósica; Paquete Tecnológico Udes de Tratamiento de Agua Potable y Agua Residual en Núcleos de Población Descentralizada; Proceso Industrial para la Producción de Suplementos Nutricionales para Alimentación Animal, Favoreciendo la Producción Limpia A Través Del Aprovechamiento Del Flujo Total de la Fibra de Mesocarpio de Elaeis Guineensis A Partir de la Bioconversión Metabólica de la Larva de Hermetia Illucens y el Proceso Patentado de Separación de la Fase Granular de la Fibra de Mesocarpio Prensada Nutpalm; Producción de Amoniaco en Condiciones Optimas de Operación A Escala Laboratorio A Partir de Fotorreducción de Nitrógeno y la Reacción con Hidrogeno Electrolítico.; Producción de Biometano para Combustible de Transporte A Partir de Residuos de Biomas-Biometrans. Fase 2: Pretratamiento de la Corteza de Cacao en el Proceseo de Producción de Biometano; Producción de Biometano para Combustible de Transpote A Partir de Residuos de Biomasa (Biometrans); Producción de Concreto A Partir de Cenizas de Residuos Agroindustriales; Producción de Paneles de Celulosa Como Elementos Constructivos No Estructurales; Productos en bioelastomero termoplástico a partir de cáscaras de piña.; Propiedades de Bioelastomero Obtenido A Partir de Cascaras  de Piña; Propuesta Metodológica Que Se Podría Adoptar en la Actualización de la Microzonificación Sísmica en el Área Metropolitana de Bucaramanga.; Prototipo de Filtro para Escuelas Rurales A Base de un Sistema de Filtrado Lento (Arena y Núcleo de Carbón Activado) Acompañado de una Lámpara Germicida Uv (Ultravioleta); Prototipo Didáctico de Maquina Compactadora de Bloques de Tierra Como Elementos Decorativos y de Construcción en Viviendas; Restauración de Cuerpos de Agua con Afectaciones de Vertimientos de Aguas Residuales con Riesgo Epidemiológico en Bucaramanga, Valledupar  y Cúcuta 2024-2025; Restauración de Cuerpos de Agua con Afectaciones de Vertimientos de Aguas Residuales con Riesgo Epidemiológico en la Quebrada las Ranas, Afluente de la Represa Del Acueducto Metropolitano de Bucaramanga; Ruta Virtual Del Cacao (Ruvica): Laboratorio Ciudadano Como Estrategia para la Promoción y Educación Del Turismo Sostenible en el Sector Cacaotero; Satisfacción de las Necesidades Del Cliente en el Sector Vivienda: Girón; Sistema de Captura de Co2 de Emisiones Generados por Industria Del Petróleo, Mediante Adsorbente A Base de Biochart Obtenido de Residuos Orgánicos.; Sistema de Monitoreo de Ruido Ambiental en el Campus Udes Lagos Del Cacique Mediante Herramientas Electrónicas de Bajo Costo; Técnica Analítica In Situ para los Ensayos de Presencia Ausencia y Número Más Probable de Coliformes Totales y Fecales Mediante Técnica Estandar Methods 9221 en Sustrato Definido; Uso de Asfáltenos para la Formulación y Formación de Emulsiones Asfálticas A Partir de Mezclas Crudo Pesado o Extrapesado y Asfáltenos, para Ser Empleados Como Riego de Imprimación en el Proceso de Pavimentación de las Vías Terciarias en la Provincia de Vélez Del Departamento de Santander.; Valoración Cultural y Diseño para la Implementación de un Sendero Interpretativo en la “ruta Del Cóndor”, Cerrito Santander; Viablidad de Técnico Económica de la Producción de Ceniza de Residuos Agroindustriales para Ser Utilziada Como Reemplazo Parcial Del Cemento en el Concreto</t>
  </si>
  <si>
    <t xml:space="preserve"> Agua, Medio Ambiente y Salud Ambiental    ; Calidad de Vida y Bienestar Social    ; Ciudades y Comunidades Sostenibles     ; Geología Básica y Aplicada, Geociencias y Sistema Tierrageología Básica y Aplicada, Geociencias y Sistema Tierra    ; Sistemas Productivos Sostenibles    ; Sostenibilidad Ambiental     ; Sostenibilidad Energética    ; Tecnologías Multiespaciales, Construcción Sostenible, Materiales y Sismoresistencia    </t>
  </si>
  <si>
    <t xml:space="preserve"> Agroinso - Semillero de Investigación de la Agroindustria e Ingeniería; Alternativas para la Conservación en Remediación Eco-Ambiental; Pdelta - Semillero de Investigación en Diseño Estructural; Seingepav - Semillero de Investigación en Geotecnia y Pavimentos; Semillero de Investigación de Ingeniería de los Materiales- Siim; Semillero de Investigación de Ingeniería Petroquímica; Semillero de Investigación de Vias y Transporte; Semillero de Investigación en Biodiversidad y Conservación; Semillero de Investigación en Ingeniería de los Materiales; Semillero de Investigación en Manejo de Aguas; Semillero de Investigación en Recursos Energéticos - Sire; Semillero de Investigación en Suelos, Aire y Sostenibilidad; Semillero de Investigaciones Geotécnicas; Serendipia; Siga - Semillero de Investigación Gestión Ambiental; Simics - Semillero de Investigaciòn en Materiales Inteligentes y Construccion Sostenible</t>
  </si>
  <si>
    <t>GRUPO AMBIENTAL DE INVESTIGACION APLICADA</t>
  </si>
  <si>
    <t>Otras Ingenierías y Tecnologías</t>
  </si>
  <si>
    <t>Ingeniería Industrial</t>
  </si>
  <si>
    <t xml:space="preserve"> Unidad: Ingenieria Industrial (015 - Valledupar); Unidad: Ingeniería Industrial (015 - Bucaramanga)</t>
  </si>
  <si>
    <t xml:space="preserve">
Adith Bismarck Perez Orozco ( Lider de grupo de investigación - Activo)  || 
Adriana Lorena Vega Molina ( Coinvestigador udes - Activo)  || 
Alejandro David Martínez Amariz ( Director de proyecto - Activo)  || 
Amalfi  Galindo Ospin ( Investigador - Activo)  || 
Belkys Johana Polo Cambronell ( Investigador - Activo)  || 
Claudia Jazmin Galeano Barrera ( Investigador - Activo)  || 
Daniela  Bellon Monsalve ( Investigador - Activo)  || 
Darwin Jose Mendoza Galvis ( Coinvestigador udes - Activo)  || 
Fausto René Posso Rivera ( Director de proyecto - Activo)  || 
Jaqueline  Saavedra Rueda ( Investigador - Activo)  || 
Jhanna Patrick Brieva Fuentes ( Coinvestigador udes - Activo)  || 
Julian Fernando Ordoñez Duran ( Director de proyecto - Activo)  || 
Luis  Reina Villamizar ( Investigador - Activo)  || 
Marlene Lucila Guerrero Julio ( Investigador - Activo)  || 
Marta Eugenia Carreño Gualdron ( Investigador - Activo)  || 
Mayra Alejandra Perez Julio ( Director de proyecto - Activo)  || 
Natalia  Rivero Arenas ( Investigador - Activo)  || 
Nury  Farelo Velasquez ( Investigador - Activo)  || 
Ronald Alexander Vacca Ascanio ( Investigador - Activo)  || 
Yenis Del Carmen González Correa ( Investigador - Activo) </t>
  </si>
  <si>
    <t>ADITH BISMARCK PEREZ OROZCO</t>
  </si>
  <si>
    <t xml:space="preserve"> Doctorado; Maestría; Tomado Desde Orcid, No Asociado por Investigador; Universitaria</t>
  </si>
  <si>
    <t>CATEGORÍA A1</t>
  </si>
  <si>
    <t xml:space="preserve"> Análisis de las Condiciones de Salud y Seguridad en el Trabajo en las Empresas Manufactureras de Valledupar; App Simbu Sistema de Monitoreo de Pm2.5 de Bucaramanga Mediante Dispositivos Electrónicos de Bajo Costo; Campaña Educativa Dirigida Al Personal de la Salud, Enfocada en el Control de las Infecciones Intrahospitalarias ; Cartas a Rosario: Memoria y Escritura; Cartilla Interactiva Módulo Ii, para el Fortalecimiento Académico en la Enseñanza Del Cálculo Diferencial de Estudiantes de Ingenieria de la Universidad Udes, Campus Valledupar; Charalá, Santander Diseño de Ruta Turística Cultural Como Herramienta de Empoderamiento Comunitario.; Condiciones de Bioseguridad en los Centros de Belleza y Estética en la Ciudad de Valledupar; Construcción de una Herramienta Tecnológica Tipo App para el Acompañamiento Preventivo de la Voz en los Profesores de la Universidad de Santander. Fase Ii.; Desarrollo de Nanomateriales Fotocatalíticos Basados en Dióxido de Titanio y Óxido de Zinc para Su Aplicación en Sistemas de Reacción Fotocatalítica Orientados A la Ruptura de Agua en la Producción de Hidrogeno Ambientalmente Sostenible; Desarrollo de semiconductores catalíticos basados en elementos abundantes para las reacciones de evolución de hidrógeno y oxígeno, hacia sistemas de electrólisis tipo PEM; Desarrollo de un Modelo Productivo de Probióticos para la Industria Avícola Integrando Herramientas de Lean Manufacturing, con el Fin de Optimizar el Proceso de Producción y Evaluar el Impacto Ambiental Asociado.; Desarrollo de un Novedoso Sistema de Modificación Superficial por Descarga Híbrida; Desarrollo de un Sistema A Nivel de Escala de Laboratorio para Generación de Hidrógeno Mediante Ruptura Fotocatalítica de la Molécula de Agua Utilizando Fotocatalizadores Basados en Dióxido de Titanio y Óxido de Zinc.; Desarrollo de una Cartilla Interactiva en Fundamentos Matemáticos para el Fortalecimiento Académico de Estudiantes de Primer Semestre de la Universidad Udes, Campus Valledupar.; Desarrollo de una Estrategia de Promoción de la Riqueza Cultural, Patrimonial y Productiva Del Sector de la Guayaba y Su Agroindustria en Relación A Su Denominación de Origen Protegida Del Bocadillo Veleño.; Desarrollo de una Propuesta para la Gestión Ambiental, A Través de la Implementación de Plantas Piloto de Monitoreo y Mecanismos de Cultura Ambiental Basado en el Concepto de Universidades Inteligentes; Diseño conceptual de electrolizador tipo PEM con materiales nobles de baja carga y arquitectura funcional diferenciadora; Diseño de una Aplicación Digital para el Proceso de Reconocimiento, Medición, Presentación y Revelación en el Nuevo Modelo Contable de Arrendamientos Bajo Niif; Diseño e Implementación de una Plataforma Tecnológica de Hardware y Software para el Mejoramiento de Variables de Productividad, Costos, Calidad y Sostenibilidad Ambiental en el Cultivo de Mango; Diseño Participativo de Experiencias Transmedia para la Restitución de la Memoria Colectiva Desde la Diversidad Cultural; Diseño un Plan Integral de Manejo en Postcosecha Del Mango Keitt Producido en el Cesar Que Potencie Su Exportación. ; Diseño y Construcción de un Reactor Plásmico por Descarga de Microondas para el Crecimiento de Estructuras Periódicas de Diamantes Nano y Microcristalinos; Dispositivo electrónico de bajo costo y app para medición de ICA Índice de calidad de aire ; El Uso de Simuladores en el Aula, una Mirada Desde los Proyectos de Investigación Formativa Del Programa Mgte-Udes-Colombia; Enseñanza de la Economía Del Hidrógeno y el Emprendimiento Social en el Programa de Ingeniería Industrial: una Propuesta Educativa.; Estimación Del Efecto de las Variables Hidroclimáticas, Sobre la Incidencia de Malaria en Colombia, Usando Sensores Remotos; Estrategia de Difusión de la Memoria Colectiva en Torno A las Prácticas Culturales de las Familias Cacaoteras Del Municipio de Lebrija -Santander Que Desarrollan la Agricultura Familiar.; Estrategias de Actualizacion y Nivelacion de las Competencias Matematicas de los Estudiantes de Recien Ingreso A Traves de la Plataforma Khan Academy; Estrategias de Manejo agroecológico para Control de Enfermedades Postcosecha de Mangifera Indica L. Cv. Keitt para el Departamento Del Cesar; Estrategias Gerenciales Que Permitan Mejorar la Toma de Decisiones en el Sector de las Veterinarias en Valledupar ; Estructuración y normalización de datos geocientíficos del subsuelo de la Cuenca de los Llanos Orientales para prospección energética con IA y análisis de riesgos para la salud en comunidades. ; Estudio de Competitivadad de Operadores Turísticos de la Ciudad de Valledupar; Estudio de la Disponibilidad de Biomasa en el Departamento Del Cesar para la Síntesis de Biopolímeros.; Estudio Del Almacenamiento de Hidrógeno en Hidruros Metálicos: Síntesis y Caracterización; Estudio para el Aprovechamiento de Lodos de Relave Minero Como Agente Cementante para la Construcción Piloto de Placa Huella  en la Infraestructura Vial en el Municipio de Vetas Santander; Estudio Tecno-Económico de la Producción de Hidrógeno Verde: Caso de Estudio Devon; Evaluación de la Productividad de los Cultivos de Cafés Especiales Mediante la Optimización de Modelos de Riesgo Agroclimáticos; Evaluación de la Sostenbilidad Ambiental Mediante un Análisis de Ciclo de Vida de los Procesos de Síntesis por Química Verde de las Nanopartículas de Dióxido de Titanio y Óxido de Zinc  ; Evaluación de Nuevas Alternativas Terapéuticas A Partir de la Interrupción de los Sistemas de Comunicación (Quórum Sensing) de Patógenos Multidrogoresistentes Prevalentes en el Nororiente Colombiano y Divulgación de los Hallazgos A Personal de Salud, Mediante una Estrategia Educativa Digital.; Evaluación Del Efecto de la Catálisis Química en la Producción de H2 por Gasificación Del Cuesco de Palma; Evaluación Del Potencial de Producción de Hidrógeno A Partir de Gasificación de Biomasa Residual de una Planta Extractora de Aceite de Palma en Norte de Santander; Evaluación Integral Del Profesor: Modelo para el Perfeccionamiento Del Proceso de Enseñanza Aprendizaje en la Udes; Fortalecimiento Empresarial de Emprendimientos Rurales en el Departamento Del Cesar; Generador de Hidrógeno por Electrólisis Alcalina de Baja Energía para Su Uso en Diferentes Altitudes y con Optimización de Su Rendimiento Mediante un Suministro Controlado Del Hidrógeno y Oxígeno, para Usos y Aplicaciones en Diferentes Sectores de la Economía  ; Guacochito la Tinaja Del Diálogo Intercultural ; Guias de Laboratorio de Metodos y Tiempo Como Soporte de Adpatacion de Industria 4.0 para el Sector Manufacturero  de la Ciudad de Valledupar.; Identificación de Estructuras y Objetos de Interés Arqueológico y Patrimonio Biocultural en un Ambiente Controlado y Simulación Computacional Usando Técnicas Geofísicas de Alta Resolución 2D-3D; Impacto de la Contabilidad Social en los Modelos de Negocios Empresariales; Implementación de un Chatbot a través de Inteligencia Artificial mejorando su Grado de Maduración (TRL), que optimice la orientación Tributaria en el Consultorio Empresarial de la Universidad de Santander (UDES) ; Implicaciones de la Economía Del Conocimiento en los Graduados de los Programas de Ingeniería de Sistemas de la Universidad de Santander y la Universidad Francisco de Paula de Santander Campus Cúcuta.; Innovación en la Gestión de Arrendamientos: Herramienta Tecnológica para el Cumplimiento Normativo de la Niif 16; Innovación Tecnológica en la Gestión Contable y Tributaria,  Factor de Sostenibilidad para el Sector Microempresarial; Inversión en Innovación Como Impulsor Sostenible Del Crecimiento Económico y el Progreso: Análisis Econométrico Del Sector Manufacturero Del Departamento de Santander; Inversión en Innovación Como Impulsor Sostenible Del Crecimiento Económico y el Progreso: Análisis Econométrico Del Sector Manufacturero para el Departamento de Norte de Santander; Inversión en Innovación Como Impulsor Sostenible Del Crecimiento Económico y el Progreso: Análisis Econométrico Del Sector Manufacturero para el Departamento Del Cesar; Inversión en Innovación Como Impulsor Sostenible Del Crecimiento Económico y el Progreso: Análisis Econométrico Del Sector Manufacturero para los Departamentos de Santander, Norte de Santander y Cesar; La Contabilidad Social y Su Impacto en el Modelo de Negocios Empresariales; Liquid Strength Sensor ; Metodología para el Desarrollo de la Práctica Formativa de Producción Como Estrategias de Innovación Educativa en el Programa de Ingeniería Industrial en la Universidad de Santander Udes Sede Valledupar.; Modelación de Voc (Compuestos Orgánicos Volátiles) en Área Metropolitana de Bucaramanga Mediante Software Isc Aermod; Modelamiento de Btx por Emisiones Vehiculares en Zonas Estratégicas Del Municipio de Cúcuta con Mediciones de Módulos Electrónicos de Bajo Costo Basado en Ia; Modelo de Gobernanza Inteligente Como Pilar para el Desarrollo de un Smart Campus; Modelo de Marketing Educativo Inteligente para las Instituciones de Educación Superior (Ies) de Santander; Modelo de Medición de Factores de Sostenibilidad Empresarial para Micros, Pequeñas y Medianas Empresas de Servicios Turísticos en Santander y Norte de Santander; Modelo de Transferencia de Tecnologías de Producción para la Vinculación con el Mercado Industrial de Pequeños Agricultores de Café Ubicados en el Departamento Del Cesar; Modelo Descriptivo de Minería de Datos para la Determinación de los Factores de Éxito en Innovación Empresarial en Colombia y México; Modelo Dinámico de Representación Del Conocimiento de las Encuentas Nacionales e Internacionales de Innovación; Módulo de Industria 4.0 Soportado en las Plantas Pilotos de Llenado y Mezclado en el Laboratorio de Simulación de la Universidad de Santander.; Nanofotocatalizador basado en dióxido de titanio para vectores energéticos: diseño guiado por métricas, síntesis de baja complejidad y prueba de concepto en laboratorio; Optimización de la Distribución de Instalaciones con Áreas Desiguales Utilizando Algoritmos Metaheurísticos Aplicado A una Empresa Del Sector de la Moda en Cúcuta; Participación de las Mujeres Rurales en Agronegocios en el Departamento Del Cesar ; Participación de las Mujeres Rurales en Agronegocios en los Departamentos de Norte de Santander, Santander y el Cesar; Plan Estratégico para la Optimización de la Cadena de Distribución de Café Orgánico; Preservación Del Patrimonio Cultural de la Ciudad de Bucaramanga por Medio de una Aplicación Móvil Utilizando Herramientas de Realidad Mixta.; Producción de Biogás y Abono Orgánico con Control A Través Del Internet de las Cosas (Iot) Mediante la Tecnología de Digestión Anaeróbica Como Alternativa de Gestión y Valorización de Residuos; Producción de Biometano para Combustible de Transporte A Partir de Residuos de Biomasa (Biometrans); Producción de Biometano para Combustible de Transpote A Partir de Residuos de Biomasa (Biometrans); Producción de Hidrógeno Verde Mediante el Uso de Aluminio Reciclado y Aguas Residuales: Revisión de Literatura.; Prototipo-Software con la Metodología y las Herramientas Que Faciliten el Proceso de Internacionalización de las Mipymes Del Sector de las Tecnologías de la Información de Norte de Santander y Santander; 'Raíces Del Páramo': Relatos de Prácticas Productivas Desarrolladas por Agricultores Familiares Del Municipio de Tona.; Reconocimiento de las Potencialidades y Capacidades Del Área de Influencia Directa Del Embalse de Topocoro Entorno A las Industrias Creativas y Culturales Como Estrategia de Desarrollo Territorial.; Relación Causal Entre la Exposición Al Material Particulado 2.5 Ppm (Pm2.5) Producido por Incendios Forestales y la Mortalidad de Origen Cardiovascular en la Población Mayor de Edad en Colombia Entre 2009 y 2024; Relación Del Rendimiento Académico y los Resultados de Pruebas Saber Pro en Estudiantes de Ingeniería Industrial en la Universidad de Santander Udes Valledupar; Ruta Virtual Del Cacao (Ruvica): Laboratorio Ciudadano Como Estrategia para la Promoción y Educación Del Turismo Sostenible en el Sector Cacaotero; Síntesis y Caracterización de Aleaciones de Base Tivzr para el Almacenamiento de Hidrógeno en Hidruros Metálicos; Sistema de Control para la Estimulación Eléctrica Funcional en una Neuroprótesis de Pie Caído con Base en un Algoritmo de Inteligencia Artificial Embebido; Uso Alternativo Del Poliestireno Expandido Residual para la Creación de Pintura Impermeabilizante Hacia la Mitigación de Impactos Ambientales</t>
  </si>
  <si>
    <t xml:space="preserve"> Conversión y Uso de Recursos Energéticos Renovables    ; Innovación Tecnológica y Sostenibilidad    ; Productividad y Competitividad    </t>
  </si>
  <si>
    <t xml:space="preserve"> Colectivo Académico para la Investigación e Implementación de Aprendizaje Lúdico; Energías Sostenibles para el Futuro; Ingevisión; Rf-Tic ; Safe Movility; Semillero de Investigación BIGATIC; Semillero de Investigación en Desarrollo Sostenible -Gidse; Semillero de Investigación en Gestión Del Conocimiento Empresarial; Sideh; Sipasqhse</t>
  </si>
  <si>
    <t>GRUPO NUEVAS TECNOLOGIAS - UDES</t>
  </si>
  <si>
    <t>Otras Ciencias Sociales</t>
  </si>
  <si>
    <t>Mercadeo y Publicidad (004 - Cúcuta)</t>
  </si>
  <si>
    <t xml:space="preserve"> Unidad: Mercadeo y Publicidad (004 - Cúcuta); Unidad: Mercadeo y Publicidad (004 - Bucaramanga); Unidad: Facultad de Ciencias Económicas, Administrativas y Contables; Unidad: Diseño Gráfico (098 - Valledupar); Unidad: Diseño Gráfico (098 - Cúcuta); Unidad: Comunicación Social y Periodismo (060 - Valledupar)</t>
  </si>
  <si>
    <t xml:space="preserve">
Amanda  Becerra Quintero ( Coinvestigador udes - Activo)  || 
Carlos Alberto Beltran Arismendi ( Investigador - Activo)  || 
Gloria  Almeida Parra ( Investigador - Activo)  || 
Hugo Darío Mantilla  ( Investigador - Activo)  || 
Jaime Andres Pabon Villamizar ( Coinvestigador udes - Activo)  || 
Ligia  Porras Niet ( Investigador - Activo)  || 
Lilia  Gutierrez Bautista ( Investigador - Activo)  || 
Martha Patricia Yanes Ramirez ( Lider de grupo de investigación - Activo)  || 
Mayra Alejandra Perez Julio ( Coinvestigador udes - Activo)  || 
Modesto Eloi Graterol Rivas ( Colider de grupo de investigación - Activo)  || 
Olga Lucia Hernandez Vega ( Coinvestigador udes - Activo)  || 
Omaira  Mendoza Ferreira ( Investigador - Activo)  || 
Orlando De Jesús Marín Lorduy ( Coinvestigador udes - Activo)  || 
Oscar Mauricio Niño Gomez ( Investigador - Activo)  || 
Ruben Dario Coronado Niño ( Coinvestigador udes - Activo)  || 
Victor Manuel Villamizar Castellanos ( Investigador - Activo)  || 
Xenobia  Quiroz León ( Coinvestigador udes - Activo) </t>
  </si>
  <si>
    <t>MARTHA PATRICIA YANES RAMIREZ</t>
  </si>
  <si>
    <t xml:space="preserve"> Apropiación de las Formas Del Ser, Estar, Tener y Hacer de las Comunidades Aid Del Embalse Topocoro. ; Bioeconomía y Ecosistemas Sostenible para el Producto Agroindustrial Del Cacao en el Municipio de San Vicente de Chucurí, Santander, Colombia.; Biory A'Mía, Retratos de Resiliencia en la Oscuridad. ; Cartas a Rosario: Memoria y Escritura; Conjunto de Datos Multipropósito sobre Espacio Público, Movilidad y Bienes de Interés Cultural de Bucaramanga y su Área Metropolitana para Aplicaciones en Inteligencia Artificial ; Creatividad Como Apoyo Al Currículo de Educación Básica Primaria: Caso Institución Educativa Nuestra Señora Del Pilar de Bucaramanga; Cuentos de la Tierra y Memética: Tejiendo el Legado Tradicional en la Tierra Fértil de la Memoria; Curaduría y anotación semántica de un dataset geoespacial 3D del Campus UDES para entrenar modelos de inteligencia artificial orientados a soluciones de infraestructura y sostenibilidad: un enfoque de Salud Planetaria.; De Santander –udes; Decisiones Económicas y Estrategicas para la Competitividad de las Mipymes en Santander; Decisiones Económicas y Estratégicas para la Competitividad de las Mipymes en Santander Fase 2; Desarrollo de un Modelo de Diseño y Producción de Férula para Fractura de Antebrazo en Población Pediátrica A Partir de Técnicas de Fabricación Digital; Desarrollo de un Modelo de Gestión de Turismo de Naturaleza Comunitario para el Área de Influencia Del Embalse de Topocoro, Procedente de Distintas Áreas de Gestión y Divulgación Científica para el Impulso de la Participación Activa de la Sociedad y el Uso Sostenible Del Patrimonio Natural. ; Desarrollo de una Estrategia de Promoción de la Riqueza Cultural, Patrimonial y Productiva Del Sector de la Guayaba y Su Agroindustria en Relación A Su Denominación de Origen Protegida Del Bocadillo Veleño.; Desarrollo Territorial Inclusivo Desde la Sostenibilidad, las Prácticas Culturales, la Economía Creativa, el Patrimonio Ambiental y los Procesos de Construcción Identitaria de las Comunidades en el Área de Influencia Directa Del Embalse de Topocoro; Desarrollo Territorial: Perspectiva Legal, Antropológica, Económica, Social y Ecológica de la Estrategia Marca Territorio en el Área de Influencia Del Embalse Topocoro Del Departamento de Santander, Colombia, 2023-2025 ; Digitalización y Sostenibilidad de las Mipymes en Iberoamérica; Diseño de Herramienta Didáctica para el Desarrollo de Competencias Creativas en Estudiantes de Básica Primaria A Través de Co-Creación Lúdica.; DISEÑO DE MODELO NARRATIVO TRANSMEDIA, QUE PROMUEVA ENTORNOS SALUDABLES EN LA INFANCIA (6-11 AÑOS) DE LA FUNDACIÓN SEMILLAS DE ILUSIÓN EN CENTROABASTOS BUCARAMANGA. ; Diseño de una Estrategia para la Articulación Comercial Formal Del Cacao Especial Indígena de la Sierra Nevada de Santa Marta; Diseño de una Ruta Turística Cultural en Valledupar: una Experiencia Patrimonial; Diseño Participativo de Experiencias Transmedia para la Restitución de la Memoria Colectiva Desde la Diversidad Cultural; Diseño Participativo de Experiencias Transmedia para la Restitución de la Memoria Colectiva en Torno A la Industria Cervecera Del Departamento de Santander ; Diseño Participativo de Experiencias Transmedia para la Restitución de la Memoria Colectiva Ferroviaria Del Barrio Café Madrid de la Ciudad de Bucaramanga.; Diseño y Fabricación de Modelo Biomecánico de Miembro Superior Del Cuerpo Humano A Pa+I218rtir de Fabricación Digital para el Campo Educativo; Efectividad de la Planeación Estratégica en la Sostenibilidad de las Mipymes Del Sector Manufacturero de Bucaramanga y Bogotá.; El Blend Marketing y la Comunicación Eficaz para Generar Conductas de Ciudadanía Inteligente en los Habitantes de Bucaramanga; El Etnomarketing y el Data-Driven Marketing Como Aliados Estratégicos en los Mercados de la Moringa en Santander; Estrategia de Difusión de la Memoria Colectiva en Torno A las Prácticas Culturales de las Familias Cacaoteras Del Municipio de Lebrija -Santander Que Desarrollan la Agricultura Familiar.; Estrategias de Comunicación No Verbal para la Generación de Preferencias Culturales Desde la Gráfica Popular Del Territorio. Caso de Estudio: “barrio Ferroviario® – Café Madrid.; Estrategias de Marketing para el Turismo Natural Comunitario en el Aid Del Embalse de Topocoro A Partir de las Potencialidades de la Biodiversidad, las Practicas Culturales y los Hitos Naturales Del Territorio.; Estudio Del Impacto Del Programa Pintaramanga en la Calidad de Vida de los Habitantes de las Comunas 1 y 2 de la Ciudad de Bucaramanga; Estudio Sobre el Cambio en los Hábitos de Consumo Generado por la Presencia de Supermercados de Bajo Costo en la Ciudad de Bucaramanga y Su Área Metropolitana; Fortalecimiento Empresarial de Emprendedores Rurales en el Departamento Norte de Santander; Fortalecimiento Empresarial de Emprendimientos Rurales en los Departamentos Norte de Santander y el Cesar; Guacochito la Tinaja Del Diálogo Intercultural ; Identidad Cultural Como Estrategia de Diferenciación de la Cadena de Valor Del Cacao para el Posicionamiento Del Municipio de Rionegro Santander Como Territorio Cacaotero. ; Identificación de Vocaciones Productivas Actuales y Potenciales de Bucaramanga y Su Área Metropolitana.; Impacto de la Contabilidad Social en los Modelos de Negocios Empresariales; Impacto Financiero Del Covid-19 en las Pymes de Bucaramanga; Influencia Del Registro de Signos Distintivos y las Nuevas Creaciones en la Construcción de Valor de Marca para Empresas Del Sector Agroalimentos en Bucaramanga y Su Área Metropolitana.; Inversión en Innovación Como Impulsor Sostenible Del Crecimiento Económico y el Progreso: Análisis Econométrico Del Sector Manufacturero para el Departamento de Norte de Santander; La Contabilidad Social y Su Impacto en el Modelo de Negocios Empresariales; Marca Comunitaria y Desarrollo Local: Promoviendo el Sentido de Pertenencia y Orgullo de la Asociación de Sobrevivientes por Minas Antipersonal, Munición sin Explosionar y Trampas Explosivas Del Norte de Santander -Asovivir.; Memoria Culinaria en las Plazas de Mercado de la Ciudad de Bucaramanga.  Restitución Simbólica Territorial de la Plaza; Metaanálisis de la Imagen de la Mujer y la Igualdad de Género en Medios de Comunicación Impreso de Circulación Diaria Del Oriente Colombiano .; Modelo de Buenas Prácticas de Comunicación Digital Como Apoyo Al Desarrollo de una Ruta Turística Gastronómica en la Ciudad de Bucaramanga; Modelo Operativo y Metodológico para la Implementación Del Laboratorio de Investigación-Creación de la Universidad de Santander – Udes; NARRATIVAS DE LA IDENTIDAD COMUNITARIA, EN UN SENDERO PRIVILEGIADO POR EL CAMPO: La protección del ambiente, el intercambio cultural y la apreciación de valores históricos y naturales en la Comunidad Agrícola del Municipio Los Patios en el Norte de Santander, Colombia; NARRATIVAS HISTÓRICAS PROMOCIONALES DE LAS UNIDADES PRODUCTIVAS DE SAN JOSÉ DE CÚCUTA, NORTE DE SANTANDER, COLOMBIA; Participación de las Mujeres Rurales en Agronegocios en los Departamentos de Norte de Santander, Santander y el Cesar; Pazeos Vallenatosla Cancion Vallenata: una Herramienta para la Construccion Colectiva de Estrategias de Desarrollo Territorial y Construccion de Paz ; Plan Estratégico en la Estructuración de una Línea Base de Intervención para la Red Empresarial Conempre de Bucaramanga.; Producción de Contenido Sonoro Digital:  Voces de Resiliencia, Tras las Huellas de las Minas ; Pro-tegiendo Nuestra Identidad: Fortalecimiento de la Industria de la Moda con Mujeres Emprendedoras del Norte de Santander; Proyecto de Prueba; Raíces de pertenencia al Territorio en Asociaciones de Mujeres Emprendedoras en el Departamento Norte de Santander; 'Raíces Del Páramo': Relatos de Prácticas Productivas Desarrolladas por Agricultores Familiares Del Municipio de Tona.; Reconocimiento de las Potencialidades y Capacidades Del Área de Influencia Directa Del Embalse de Topocoro Entorno A las Industrias Creativas y Culturales Como Estrategia de Desarrollo Territorial.; Relatos y cartografía social de adultos mayores sobre Los Patios; Rosario Arciniegas, el Canto de la Sirena; Toolkit de Cocreación para el Desarrollo de Competencias Creativas en Estudiantes de Básica Primaria.; Voces de Resiliencia, Tras las Huellas de la Mina: Imagen, Identidad Comunitaria y Producción de Contenidos Sonoros: Promoviendo Resiliencia y Pertenencia en Asociaciones de Sobrevivientes  por Minas Antipersonales, Munición sin Explosionar y Trampas Explosivas en el Departamento Norte de Santander.</t>
  </si>
  <si>
    <t xml:space="preserve"> Cadenas Productivas Agroalimentarias    ; Creatividad, Comunicación y Sociedad     ; Diseño y Comunicación Interactiva    ; Información y Comunicación Estratégica Del Consumidor    </t>
  </si>
  <si>
    <t xml:space="preserve"> Abc; Cámara Oscura; Exploradores ; Gps; Ilumina; Imago; Innova; Inspira; Intellecto; Inventiva; Productivos</t>
  </si>
  <si>
    <t>CIMEP - CENTRO DE INVESTIGACION DE MERCADEO Y PUBLICIDAD</t>
  </si>
  <si>
    <t>Psicología (021 - Bucaramanga)</t>
  </si>
  <si>
    <t xml:space="preserve"> Unidad: Psicologia (021 - Valledupar); Unidad: Psicología (021 - Cúcuta); Unidad: Psicología (021 - Bucaramanga); Unidad: Facultad de Ciencias Sociales, Políticas y Humanidades</t>
  </si>
  <si>
    <t xml:space="preserve">
Carlos Arturo Gutierrez Suarez ( Investigador - Activo)  || 
Catalina  Arenas Ortiz ( Investigador - Activo)  || 
Delia Karina Meza Rojas ( Investigador - Activo)  || 
Diana Karina Arguello Vargas ( Investigador - Activo)  || 
Diego Andres Rivera Porras ( Investigador - Activo)  || 
Edgar Guillermo Pulido Guerrero ( Investigador principal udes - Activo)  || 
Gloria Ines Silva Monsalve ( Investigador - Activo)  || 
Hadder Uriel Acosta Salazar ( Colider de grupo de investigación - Activo)  || 
Hector Fabian Becerra Fuquen ( Lider de grupo de investigación - Activo)  || 
Irma Lizeth Nuvan Hurtado ( Investigador principal udes - Activo)  || 
Jorge Enrique Chacon Afanador ( Investigador principal udes - Activo)  || 
Jose Camilo Londoño Rincon ( Investigador principal udes - Activo)  || 
Karen Patricia Bruges Franco ( Investigador - Activo)  || 
Laura Patricia Amaya Diaz ( Investigador principal udes - Activo)  || 
Leidys Eileen Ariza Quintero ( Investigador - Activo)  || 
Lena Paulina Tamayo Lopez ( Investigador - Activo)  || 
Lesby Johanna Lora Carrillo ( Investigador principal udes - Activo)  || 
Lewis Herney Garcia Mora ( Asesor externo internacional - Activo)  || 
Maria Alexandra Amaya Mancilla ( Investigador - Activo)  || 
Maria Angelica Sanchez Julio ( Investigador - Activo)  || 
María Victoria Ortiz Mujica ( Tutor de semillero de investigación - Activo)  || 
Martha Luz Gómez Campuzano ( Coinvestigador udes - Activo)  || 
Sandra Milena Carrillo Sierra ( Investigador principal udes - Activo)  || 
Sandra Milena Serrano Mora ( Investigador principal udes - Activo)  || 
Sonia Del Pilar Ayala Rincón ( Investigador - Activo)  || 
Yaneth  Lopez Rangel ( Investigador principal udes - Activo)  || 
Yosnel  Torres Mellado ( Investigador principal udes - Activo) </t>
  </si>
  <si>
    <t>HECTOR FABIAN BECERRA FUQUEN</t>
  </si>
  <si>
    <t xml:space="preserve"> Sin Título; Universitaria</t>
  </si>
  <si>
    <t>CATEGORÍA B</t>
  </si>
  <si>
    <t xml:space="preserve"> Actitudes y Prácticas de Cuidado de la Salud Física y Mental en Dos Comunidades de la Ciudad de Bucaramanga en el Marco de la Pandemia por Covid-19 para la Construcción de un Protocolo de Promoción...; Adopción Tecnológica en el Manejo de Diabetes Tipo 1: Lecciones de Usuarios con Bomba de Insulina de Bucaramanga - Colombia; Alienismo, Psicopatología y Salud Mental en Santander; Alternativas Pacíficas de Resolución de Conflictos Cotidianos en el Municipio de Girón (Santander), Desde las Experiencias de la Organización la Comadre; Análisis de las Capacidades y Vulnerabilidades de la Población Femenina Migrante en Su Entorno para Fortalecer el Emprendimiento, Desarrollo Social y Factores Ambientales en la Ciudad de Valledupar.; Análisis Del Impacto de las Respuestas A las Necesidades Jurídicas Específicas de la Casa de Justicia Del Norte en Bucaramanga y las Casas de Justicia Primero de Mayo y la Nevada en la Ciudad de Valledupar”.; Aprendizajes y Aplicaciones en Torno A la Resolución Pacífica de Conflictos Cotidianos en el Municipio de Cúcuta; Apropiación de las Formas Del Ser, Estar, Tener y Hacer de las Comunidades Aid Del Embalse Topocoro. ; Aproximación Al Fortalecimiento de la Inclusión Educativa de Estudiantes con Discapacidad de la Ciudad de Cúcuta A la Luz de la Normatividad Jurídica Vigente.; Aproximaciones en la Construcción de los Elementos de la Acción de Tutela para la Protección Al Derecho A la Salud en el Consultorio Jurídico de la Universidad de Santander Campus Cúcuta; Arte Participativo y Transformación Cultural en Espacios Urbanos en la Ciudad Frontera; Caracterización Integral de Estaciones de Arte Rupestre en los Santos, Santander; Cátedra Abierta: los Recorridos Del Patrimonio y la Memoria en el Nor-Oriente Colombiano. Sistematización de la Experiencia; Contexto de la educación rural en Colombia: descubrimiento de conocimiento en bases de datos multifuentes; Desarrollo de una Estrategia para la Activación de un Dispositivo Museográfico en Jóvenes de 18 A 25 Años con el Fin de Promover Empatía, Sensibilización y Cambio de Creencias en Torno A los Efectos Psicosociales de la Desaparición Forzada; Determinantes Del Desarrollo Cognitivo de la Primera Infancia en el Contexto de la Pandemia por Covid-19 en una Institucion Educativa de la Ciudad de Bucaramanga ; Diferencias de Fuerza Prensil, Variabilidad de la Frecuencia Cardiaca y la Salud Mental en Personas con y sin Enfermedad Cardiovascular de la Ciudad de Bucaramanga, 2025; Diferencias de Fuerza Prensil, Variabilidad de la Frecuencia Cardiaca y la Salud Mental en Personas con y sin Enfermedad Cardiovascular de la Ciudad de Valledupar; Diseño de un Modelo de Vinculación Laboral para Personas en Proceso de Reintegración Económica Del Departamento Norte de Santander”.; Diseño e Implementación de un Programa de Educación Emocional en Niños, Niñas y Adolescentes de 9 A 13 Años Del Colegio Hispanoamericano de la Ciudad de Valledupar Cesar, en el Marco Del Desarrollo de Competencias Ciudadanas; Efecto de una Intervención Multicomponente No Farmacológica en la Microbiota Intestinal Según la Susceptibilidad Genética en Adultos Mayores con Deterioro Cognitivo Leve; Efecto de una Intervención Multicomponente No Farmacológica en la Microbiota Intestinal Según la Susceptibilidad Genética en Adultos Mayores con Deterioro Cognitivo Leve. ; Efecto Del Programa Madre Canguro Sobre el Desarrollo Neuromotor, la Lactancia Materna y el Vínculo de Apego en la Diada Madre – Bebé Prematuro/A.; El Trabajo en Tiempo de Covid-19: Atención Primaria para el Funcionamiento Familiar en los Administrativos de la Universidad Santander Udes Valledupar; Elaboración Del Duelo en Jóvenes y Adultos Habitantes Del Municipio de Tona, Que en Su Niñez Experimentaron la Desaparición Forzada de uno o Dos de Sus Padres; Elementos Culturales Como Capacidad de Afrontamiento en Adolescentes Afrodescendientes Vìctimas Del Conflicto Armado; Enganche; Estado de las Condiciones de Salud Mental y Su Influencia en el Desempeño Académico de Estudiantes de Prácticas de la Facultad de Ciencias Médicas y de la Salud de la Universidad de Santander Campus Cúcuta; Estado de las Condiciones de Salud Mental y Su Influencia en el Desempeño Académico de Estudiantes de Prácticas de la Facultad de Ciencias Médicas y de la Salud de la Universidad de Santander Campus Valledupar ; Estilos de Pensamiento y Cambio Organizacional en los Funcionarios Administrativos de la Universidad de Santander Campus Cúcuta; Estudio Comparativo Del Estado de las Condiciones de Salud Mental y Su Influencia en el Desempeño Académico de Estudiantes de Prácticas de la Facultad de Ciencias Médicas y de la Salud de Universidades Colombianas y una Universidad de Costa Rica. ; Evaluación de los Efectos de la Cuarentena por la Covid-19 en la Salud Mental y Física de Estudiantes de Instrumentación Quirúrgica de la Universidad de Santander - Udes; Evaluación Del Bienestar Subjetivo de los Adultos Mayores de las Asociaciones de la Alcaldía de los Patios, Norte de Santander; Fundamentos y Principios para el Desarrollo de la Investigación Documental; Habilidades para la Vida y Estilos de Vida Saludable en Estudiantes de Primer y Segundo Semestre de la Universidad de Santander Campus Cúcuta.; Ideación Suicida en Estudiantes de Pregrado de la Facultad de Ciencias Medicas y de la Salud de la Universidad de Santander, 2022; Identificar el Papel de los Metodos  Alternativos de Solución de Conflictos, Como Facilitador Del Acceso A la Justicia en el Municipio de Valledupar; Impacto de la Contabilidad Social en los Modelos de Negocios Empresariales; Integración de Micea (Metodologia Interdisciplinaria Centrada en Equipos de Aprendizadje) y la Enseñanza  A Través de Problemas y Casos, para Lograr el Desarrollo en Competencias en los Estudiantes de Derecho Procesal.; Intervención Psicosocial en Salud Mental Comunitaria en Mujeres y Niñas Afrodescendientes Víctimas Del Conflicto Armado en Guacoche Cesar  “mujeres Tinajeando la Vida”; La Contabilidad Social y Su Impacto en el Modelo de Negocios Empresariales; La Experiencia de Jóvenes Universitarios en Bucaramanga Al Intentar Controlar y Bajar de Peso, Narrada Mediante Foto-Voz.; LOS ÁRBOLES CANTAN: La composición de música vallenata como estrategia mediática para fortalecer los vínculos socioambientales de los habitantes de Valledupar con los árboles patrimoniales.; Necesidades de las Comisarías de Familia en la Implementación de la Ruta de Atención A la Violencia Basada en Género en el Área Metropolitana de Santander, Norte de Santander y Cesar; Participación de las Mujeres Rurales en Agronegocios en el Departamento de Santander; Participación de las Mujeres Rurales en Agronegocios en el Departamento Del Cesar ; Participación de las Mujeres Rurales en Agronegocios en los Departamentos de Norte de Santander, Santander y el Cesar; Pazeos Vallenatosla Cancion Vallenata: una Herramienta para la Construccion Colectiva de Estrategias de Desarrollo Territorial y Construccion de Paz ; Percepción de los Cuidados Humanizados de Enfermería para el Bienestar de las Personas; Percepciones de los Pacientes y Proveedores de la Rehabilitación Cardiaca Sobre una Estrategia de Mitigación Que Disminuya las Barreras para la Participación. ; Perfil de Salud y Concepciones Sobre el Acceso A Servicios de Salud en la Comunidad Indígena Kogui Del Resguardo Maruámake; Pos Conflicto y Procesos de Paz Colombia- México: la Nueva Agenda de los Derechos Humanos de las Mujeres, Niñas y Adolescentes.; Prácticas Sexuales de los Estudiantes de Pregrado, un Estudio Descriptivo Sobre Vih/Sida; Prácticas Terapéuticas de Doce Comunidades Terapéuticas Habilitadas en el Valle Del Cauca, Antioquia y Santander para el Tratamiento de las Adicciones; Programa Educativo para la Inclusión de Estudiantes Universitarios con Discapacidad: Estudio de Caso - Parálisis Cerebral Espástica Fase I; Propiedades Psicométricas de la Escala de Conocimiento y Práctica Pedagógica de los Docentes Frente A las Conductas de Inatención, Hiperactividad e Impulsividad en Contextos Escolares de Cúcuta; Relación Entre  la Situación de Desplazamiento con la Calidad de Vida en Términos de Salud en Mujeres; Sentidos y Prácticas en Torno A la Reconciliación, el Perdón y la Reintegración en una Comunidad Que Alberga Personas Reinsertadas Del Conflicto Armado Colombiano en el Municipio de Floridablanca, Santander; Transitar Hacia la Convivencia Pacífica: Aprendizajes y Aplicaciones Desde y para la Salud Mental Comunitaria en Girón y Cúcuta ; Validación de un Inventario de Creencias Sobre el Abuso Sexual Infantil para Padres; Validación y Estandarización Del Cuestionario Autoconcepto Forma 5 en Población Universitaria de Valledupar.; Voces que inspiran: diseño participativo de material educativo accesible para el empoderamiento de derechos de personas con discapacidad en el Área Metropolitana de Bucaramanga. </t>
  </si>
  <si>
    <t xml:space="preserve"> Capital Social y Desarrollo Humano    ; Salud y Bienestar Humano    </t>
  </si>
  <si>
    <t xml:space="preserve"> Ágape; Atención, Educación y Desarrollo para la Primera Infancia ; Comportamiento Laboral, Organizacional y Social; Comunicación y Territorio; Equality; Innovation And Creativity In Psychology; Intellectus ; Moebius ; Motivated By Knowledge; Nous; Physis - Valledupar; Psicotánatos; Psique y Conducta; Sujeto y Sociedad; Tejedores de Cambio Social</t>
  </si>
  <si>
    <t>GRUPO DE INVESTIGACION ESTUDIOS SOCIO-HUMANISTICOS</t>
  </si>
  <si>
    <t xml:space="preserve"> Unidad: Facultad  de Ciencias Médicas y de la Salud</t>
  </si>
  <si>
    <t xml:space="preserve">
Asbleide Karina Angarita Sanchez ( Investigador - Activo)  || 
Denny Miley Cardenas Sierra ( Investigador - Activo)  || 
Holver Smith Parada Jurado ( Investigador - Activo)  || 
Javier Andres  Soto ( Colider de grupo de investigación - Activo)  || 
Jhoalmis  Sierra Castril ( Lider de grupo de investigación - Activo)  || 
Juan Diego Wilches Vega ( Coinvestigador udes - Activo)  || 
Nestor Fabian Galvis Serrano ( Investigador - Activo)  || 
Yojanna  Perdomo Doming ( Asesor externo nacional - Activo) </t>
  </si>
  <si>
    <t>Javier Andres  Soto</t>
  </si>
  <si>
    <t xml:space="preserve"> Afectación de las Destrezas de Ejecución y la Edad Madurativa de Niños y Niñas Del Programa Valientes Del Futuro con Antecedente de Infección Materna por el Virus Zika Durante Gestación.; Análisis Epidemiológico de los Marcadores Infecciosos Procesados en Donantes Vivos de Tejido Óseo en un Banco de Tejidos de la Ciudad de Bucaramanga.; Asociación de Factores de Riesgo y Prevalencia de Parasitosis Intestinales en Manipuladores de Alimento Del (Pae) Cúcuta, 2019; Asociación de las Variables Meteorológicos con la Presencia de Cryptococcus Spp en Aislamientos Ambientales en Cúcuta”.; Asociación entre biomarcadores de laboratorio y el riesgo cardiovascular en la población de Cúcuta.; Características Clínicas y Etiológicas de Leishmaniasis Canina en Municipios Norte de Santander; Caracterización Molecular de Escherichia Coli y Pseudomonas Spp. Productoras de Betalactamasas de Espectro Extendido Aisladas de Aguas Provenientes de la Quebrada la Tonchalera, Norte de Santander, Colombia.; Correlación Entre Niveles de Hormonas Tiroideas y Concentración Sérica de Interleucina 6, Proteína C Reactiva y Lactato Deshidrogenasa en Pacientes con Diabetes Tipo 2.; Detección de Sars-Cov-2 y Virus de la Hepatitis A en Aguas Residuales de la Ciudad de  Cúcuta Como Estrategia Predictiva de Brotes. Estudio Multicéntrico.; Determinación de la Calidad Del Agua, Genes de Resistencia Antimicrobiana y Contaminantes Emergentes en Puntos Priorizados de la Quebrada la Tonchalá, Norte de Santander; Determinación de la Multirresistencia en Escherichia Coli y Pseudomonas Aeruginosa Aisladas de Aguas Provenientes de la Quebrada la Tonchalera, Norte de Santander. un Enfoque de One Health.; Determinación de la Presencia de Cryptococcus Neoformans y C. Gattii en Muestras Ambientales y Veterinarias en los Municipios de Bucaramanga y Cúcuta; Determinación de la Seroprevalencia y Respuesta Inmune A Flavivirus Zika y Dengue en Estudiantes de la Universidad de Santander, Cúcuta Colombia; Determinación In Vitro de la Actividad Citotóxica y Acanthamoebicida de Moringa Oleifera, Myrcianthes Leucoxyla y Plukenetia Volubilis; Determinación y Verificacion de los Intervalos de Referencia de Analitos de Química Clínica en Laboratorios Del Nororiente Colombiano; Diseño participativo de recursos comunicativos para la sensibilización y educación sobre la diabetes mellitus en pacientes de la E.S.E Hospital Juan Luis Londoño, El Zulia, Norte de Santander.; Efecto Del Ejercicio Aeróbico en la Composición Corporal y Aptitud Física en Adolescentes de 11 A 17 Años Del Colegio Integrado Fe y Alegría Del Municipio de los Patios, 2020.; Estudio Eco Epidemiológico Del Foco de Leishmaniosis Cutánea y Mucocutánea Canina en Norte de Santander; Estudio Epidemiológico Retrospectivo de Pseudomonas y Otras Cepas Bacterianas Resistentes Aisladas en Instituciones de Salud en el Nororiente Colombiano; Evaluación de Determinantes de Patogenicidad de Cryptococcus Neoformans y C. Gatti en Gallería Mellonella; Evaluación de la Actividad Antimicrobiana de Extractos de Persea Americana (Aguacate) Variedad Choquette Sobre el Crecimiento de Staphylococcus Aureus y Escherichia Coli; Evaluación de la Capacidad Antitumoral In Vitro de los Derivados Biológicos Obtenidos de las Plantas Plukenetia Volubilis, Moringa Oleífera, Calycolpus Moritzianus y Citrus Limon en Carcinoma de Cuello Uterino.; Evaluación de la Capacidad Antitumoral In Vitro e In Vivo de Extractos Biológicos Obtenidos de las Plantas Sacha Inchi y Moringa Oleífera en Cáncer Gástrico.; Evaluación de la Expresión de la Proteína Bcl-2 en  Embriones Bovinos, Cultivados con y sin el Activador Ppar? (L-165041), Producidos en la Universidad de Santander, Campus Valledupar, Año 2023 - 2025.; Evaluación de las Características Funcionales A Partir de Seis Prototipos de Mezclas  de Harinas de Semillas Promisorias con Adición de Probióticos.; Evaluación de Nuevas Alternativas Terapéuticas A Partir de la Interrupción de los Sistemas de Comunicación (Quórum Sensing) de Patógenos Multidrogoresistentes Prevalentes en el Nororiente Colombiano y Divulgación de los Hallazgos A Personal de Salud, Mediante una Estrategia Educativa Digital.; Evaluación de un Dispositivo de Diagnóstico Rápido de Dengue Basado en Tecnología de Prueba Inmunocromatográfica para la Identificación de Agentes Etiológicos en Personas Que Presentan Signos y Síntomas de Enfermedades Febriles – Prueba Rápida “denv Detect”; Evaluación Del Efecto Protector de Inductores Del Factor de Transcripción Nrf2 Contra la Mielotoxicidad y la Neuropatía Periférica Inducidas por Docetaxel en un Modelo Preclínico Animal; Evaluación Utilidad Clínica Del Marcador Sdma (Dimetil Arginina Simétrica) y Creatinina en el Diagnóstico Temprano de Enfermedad Renal   en Caninos Clínica Veterinaria de la Ciudad de Cúcuta.; Factores de Riesgo Socioambiental Asociados A Enfermedades Respiratorias en Niños y Niñas de los Hogares Infantiles y Centros de Desarrollo Infantil Del Instituto Colombiano de Bienestar Familiar en Cúcuta 2019; Factores de Riesgo Socioambientales Determinantes de la Infeccion por Covid-19 en Cucuta; Identifiación de Amebas de Vida Libre Termotolerantes A Partir de Muestra de Suelo y Agua de Norte de Santander; Identificación de Bacterias Endosimbióticas Causantes de Infecciones Gastrointestinales Presentes en Amebas de Vida Libre de Muestras de Fuentes Hídricas de los Municipios de Cúcuta y la Zulia, Norte de Santander.; Identificación de Escherichia Coli y Caracterización de Su Resistoma Como Indicador de Contaminación de Bacterias Patógenas Multirresistentes en Muestras de Agua de la Quebrada la Tonchalá, Norte de Santander; Identificación de los Factores Ambientales y Climáticos Asociados A la Ocurrencia de Conglomerados Espacio-Temporales de Leptospirosis en Colombia Durante la Última Década.; Prevalencia de Coinfección de Virus de Influenza A, B y Virus Sincitial Respiratorio con Sars-Cov-2 en Pacientes Adultos Hospitalizados en la Región Santandereana, Colombia.; Prevalencia de la Diabetes Gestacional y la Disfunción Tiroidea en el Grupo de Gestantes Del Centro Especializado de Diagnostico Materno Infantil (Cedmi) de Cúcuta en el Periodo Del 2016 Al 2020; Prevalencia de la Diabetes Gestacional y la Disfunción Tiroidea en el Grupo de Gestantes Del Centro Especializado de Diagnóstico Materno Infantil (Cedmi) de Cúcuta en el Periodo Del 2016 Al 2020; Proyecto ejemplo Conv. Datos; Prueba Obtención de un Biofertilizante A Partir Del Biochar de Cápsulas y Cáscaras de Sacha Inchi (Plukenetia Volubilis L.) y un Consorcio Microbiano Pgpm; Relación Entre la Ferritina, el Colesterol Circulante y el Citocromo P450 con el Riesgo Cardiovascular en Mujeres Pre Menopaúsicas y Postmenopáusicas en Tres Instituciones Universitarias de Colombia, Año 2020.; Restauración de Cuerpos de Agua con Afectaciones de Vertimientos de Aguas Residuales con Riesgo Epidemiológico en Bucaramanga, Valledupar  y Cúcuta 2024-2025; Sistema Piloto de Vigilancia Centinela Del Dengue en Centros de Salud de Cali, Villavicencio y Cúcuta, Colombia.; Tipificación   Del   Virus   Del   Papiloma   Humano   y Descripción de Factores de Riesgo  de  Infección  en Estudiantes Universitarias; Vigilancia Ambiental de la Resistencia A Antibióticos en la Quebrada la Tonchalá, Norte de Santander: Impacto de las Actividades Antropogénicas e Implementación de una Herramienta Web Como Estrategia Educativa</t>
  </si>
  <si>
    <t xml:space="preserve"> Biología Celular y Molecular de Enfermedades    ; Biotecnología de Microorganismos    </t>
  </si>
  <si>
    <t xml:space="preserve"> Biociencias; Dolly ; Hela; Macroinvertebrado Acuatico y Ambiente; Semillero Ejemplo 2023</t>
  </si>
  <si>
    <t>Medicina Clínica</t>
  </si>
  <si>
    <t>Medicina General e Interna</t>
  </si>
  <si>
    <t>Campus Bucaramanga</t>
  </si>
  <si>
    <t xml:space="preserve"> Unidad: Medicina (018 - Bucaramanga); Unidad: Maestría en Investigación en Enfermedades Infecciosas (086 - Bucaramanga); Unidad: Especialización en Medicina Familiar (063 - Bucaramanga); Unidad: Bacteriología y Laboratorio Clínico (017 - Bucaramanga)</t>
  </si>
  <si>
    <t xml:space="preserve">
Adriana Liced Chaparro Rojas ( Investigador - Activo)  || 
Ana Marcely Perez Casanova ( Investigador - Activo)  || 
Carol Gisela Rueda Ordoñez ( Investigador - Activo)  || 
Cindy Lorena Sanchez Jimenez ( Investigador - Activo)  || 
Claudia  Ortiz Rico ( Tutor de semillero de investigación - Activo)  || 
Daniel Dylan Cohen  ( Investigador - Activo)  || 
Diana Marcela Galvan Canchila ( Investigador - Activo)  || 
Diego Andrés Rodríguez Rangel ( Investigador - Activo)  || 
Diego Fernando Rodriguez Rodriguez ( Investigador - Activo)  || 
Diego Torres Dueñas  ( Investigador - Activo)  || 
Doris Jimena Roncancio Benitez ( Investigador - Activo)  || 
Eduardo Ignacio Navarro Jiménez ( Investigador - Activo)  || 
Harold  Torres Pinzon ( Investigador - Activo)  || 
Jesús Alirio Peña Ordóñez ( Investigador - Activo)  || 
Jhancy Rocio Aguilar Jiménez ( Investigador - Activo)  || 
Johanna  Tapias Rivera ( Investigador - Activo)  || 
Johanna Alejandra Otero Wandurraga ( Investigador - Activo)  || 
John Jaime Quimbaya Ramirez ( Investigador - Activo)  || 
Jose Hernan Forero Corzo ( Investigador - Activo)  || 
Jose Patricio Lopez  ( Investigador - Activo)  || 
Jose Vicente Sanchez Frank ( Investigador - Activo)  || 
Juan Carlos Uribe Caputi ( Investigador - Activo)  || 
Juan Diego Villamizar Escobar ( Investigador - Activo)  || 
Juan Fernando Carvajal Estupiñan ( Investigador - Activo)  || 
Julian Alonso Gaona Arias ( Investigador - Activo)  || 
Leidy Johanna Pedraza Hernandez ( Estudiante posgrado - Activo)  || 
Libeth Yajaira Criado Guerrero ( Investigador - Activo)  || 
Liliana  Benitez Díaz ( Investigador - Activo)  || 
Lusayda  Sanchez Corrales ( Estudiante posgrado - Activo)  || 
Magnolia  Acosta Posada  ( Investigador - Activo)  || 
María Fernanda Flórez Mogollón ( Estudiante posgrado - Activo)  || 
Martha Juliana Rodríguez Gómez ( Investigador - Activo)  || 
Olga Lucia Segovia Morales ( Tutor de semillero de investigación - Activo)  || 
Paola Andrea Rueda García ( Investigador - Activo)  || 
Patricio  Lopez Jaramillo ( Investigador - Activo)  || 
Piedad Cecilia Serpa Perez ( Tutor de semillero de investigación - Activo)  || 
Ruth Arali Martinez Vega ( Lider de grupo de investigación - Activo)  || 
Sonia Constanza Concha Sánchez ( Investigador - Activo)  || 
Ulfran De Jesús Castro Salas ( Investigador - Activo)  || 
Veronica  Pico Quinter ( Estudiante posgrado - Activo) </t>
  </si>
  <si>
    <t>RUTH ARALI MARTINEZ VEGA</t>
  </si>
  <si>
    <t xml:space="preserve"> Caracterización automática de heridas: un modelo para la clasificación en imágenes bidimensionales de úlceras por presión y venosas.; Caracterización Del Patrón de Susceptibilidad de Helicobacter Pylori A Seis Antibióticos en Cepas Aisladas de Pacientes con Enfermedades Gastroduodenales Del Oriente de Antioquía, Medellín y Apartado Entre 2015-2019; DATASET INTEGRADO DE AEROSOLES ATMOSFÉRICOS, VARIABLES CLIMÁTICAS Y MORTALIDAD RESPIRATORIA EN POBLACIÓN GERIÁTRICA URBANA: BASE PARA APLICACIONES DE INTELIGENCIA ARTIFICIAL EN SALUD AMBIENTAL ; Dataset para un modelo predictivo y mapeo del riesgo de micoplasmosis canina en Colombia con inteligencia artificial; Diagnósticos de los Comportamientos de Automanejo en Pacientes con Enfermedad Crónica No Trasmisible de Tipo Cardiovascular en una Institución de Salud de Floridablanca.; Dinámica Espaciotemporal de la Transmisión Del Dengue en Poblaciones Endémicas Mexicanas Durante 2.014 – 2.016; Diseño de Estrategias de Enseñanza-Aprendizaje Inclusivas para Estudiantes con Discapacidad Auditiva en la Universidad de Santander; Dynamics Of The Humoral Response Against Dengue Virus In The Transition From Non- Endemic To Endemic Populations In Mexico; Efecto Del Entrenamiento de la Fuerza Isométrico en Individuos con Síndrome Metabólico en Su Lugar de Trabajo (Eefit); Efecto Microbiano de un Nanoconjugado y la Terapia Fotodinámica Sobre Periodontopatógenos Prevalentes en la Enfermedad Periodontal en el Paciente Diabético Tipo Ii: Estudio In Vitro; Eficacia de una Intervención Multicomponente Sobre la Función Cognitiva para la Diada Cuidador-Paciente en el Marco de la Cohorte Pure Colombia y la Red de Apoyo Social para Cuidadores ; Estimación de la Asociación Existente Entre el Ciclo el Niño-La Niña y la Ocurrencia de Leishmaniasis Cutánea en Colombia Durante el Periodo 2007-2021 ; Estrategia de Co-Creación para la Sensibilización Comunitaria Sobre el Manejo de Residuos Hospitalarios A Través de la Memoria Social y el Arte Urbano; Estrategia de Innovación Social para el Acompañamiento A la Lactancia Materna en Contextos de Vulnerabilidad Como Aporte A la Seguridad Alimentaria.; Estudio Indirecto de los Potenciales Hospedadores Vertebrados, Infección Natural y Genotipificación de Leishmania Spp., en Flebótomos Colectados en un Área Endémica de Leishmaniasis Cutánea en Norte de Santander, Colombia; Evaluación de la Asociación Entre la Tasa de Deforestación en los Municipios Del País y la Incidencia de Leishmaniasis Cutánea, Entre el 2007 y 2024.; Evaluación y Comparación de Técnicas y Procedimientos para la Detección Temprana de Tuberculosis en Pacientes Infectados por el Vih en Colombia; Frecuencia de Fenotipos, Genes y Elementos Genéticos de Resistencia A Antimicrobianos en Reservorios Bacterianos, Como los Patotipos de Escherichia Coli y E. Coli Comensales, Aislados de Niños con y sin Enfermedad Diarreica Aguda (Eda) de Bucaramanga y el Área Metropolitana.; Guías de Diagonostico y Manejo en Pediatria "Pediguias Udes"; Influencia de las Estrategias de Enseñanza Del Profesorado en la Motivación Hacia el Aprendizaje de los Estudiantes Del Programa de Instrumentación Quirúrgica de la Universidad de Santander; LeptoCol-UDES: Dataset de casos de leptospirosis, Variables Hidroclimáticas y Vulnerabilidad Socioeconómica para uso con Inteligencia Artificial en Colombia (2007–2023); Modelos de Analítica de Datos para la Vigilancia de Enfermedades Arbovirales en el Departamento de Santander; Objeto Virtual de Aprendizaje para el Reconocimiento y Afrontamiento Del Estrés Percibido en  Estudiantes de Ciencias de la Salud en el Nororiente Colombiano; Perfil Microbiologico de Resistencia Bacteriana en la Ios Clínica Comuneros Servicio de Hospitalización; Prácticas Seguras Del Instrumentador Quirúrgico en Manipulación de Medicamentos en el Área Quirúrgica; Prevalencia de Infección Genital por Chlamydia Trachomatis y Neisseria Gonorrhoeae en Estudiantes de Reciente Ingreso de la Universidad de Santander - Campus Bucaramanga en el Semestre A Del 2020.; Ruta de Formación de Competencias en Salud Pública y Atención Primaria en Salud en la Escuela de Medicina de la Universidad de Santander – Segunda Fase; Ruta de Formación de Competencias en Salud Pública y Atención Primaria en Salud, en la Escuela de Medicina de la Universidad de Santander – Fase 1; Seroprevalencia", Títulos Neutralizantes e Incidencia de Dengue en una Población Endémica; Situacón de los Comités de Bioética Clínico Asistencia (Cbca) en las Instituciones de Salud Públicas y Privadas de los Niveles de Mediana y Alta Complejidad de Colombia; Solución Tecnológica de Monitoreo Epidemiológico Comunitario para la Prevención y Seguimiento de Enfermedades Transmisibles en Zona Rural de Puerto Wilches - Medirural; Termómetro Social Covid-19, Colombia. Respuesta Poblacional Frente A la Pandemia y A las Medidas de Salud Pública Implementadas. ; Validación y Adaptación de la Encuesta Phq-9 (Patient Health Questionnaire-9) para el Cribado de Depresión en Usuarios de Atención Primaria en Bucaramanga, Colombia; Variables Asociadas A la Exacerbación de la Epoc</t>
  </si>
  <si>
    <t xml:space="preserve"> Atención Primaria en Salud    ; Enfermedades Crónicas No Transmisibles    ; Enfermedades Infecciosas    ; Gestión Clínica y Seguridad Del Paciente    ; Infancia y Adolescencia    ; Lactancia Materna    ; Rendimiento Neuromuscular    </t>
  </si>
  <si>
    <t xml:space="preserve"> Atención Primaria en Salud; Gestión Clínica y Seguridad Del Paciente ; Pediatria; Pedisemilla; Salud Pública &amp; Enfermedades Infecciosas</t>
  </si>
  <si>
    <t>SALUD-COMUNID-UDES</t>
  </si>
  <si>
    <t>Enfermería</t>
  </si>
  <si>
    <t xml:space="preserve"> Unidad: Enfermería (028 - Bucaramanga)</t>
  </si>
  <si>
    <t xml:space="preserve">
Alexander  Alvarez Ortiz ( Coinvestigador udes - Activo)  || 
Alexander  Pabon Moreno ( Estudiante posgrado - Activo)  || 
Alvaro Hernando Castañeda Hernandez ( Investigador - Activo)  || 
Ana Marcely Perez Casanova ( Tutor de semillero de investigación - Activo)  || 
Ariel  Calderon Ardila ( Coinvestigador udes - Activo)  || 
Astrid Nathalia Páez Esteban ( Investigador - Activo)  || 
Beatriz Andrea Del Pilar Niño Silva ( Investigador - Activo)  || 
Claudia Consuelo Torres Contreras ( Investigador - Activo)  || 
Delia  Moya Plata ( Coinvestigador udes - Activo)  || 
Diana Carolina Tiga Loza ( Investigador principal udes - Activo)  || 
Edwing Alberto Urrea Vega ( Coinvestigador udes - Activo)  || 
Elsy  Quintero Perez ( Investigador - Activo)  || 
Erika Yurley Duran Niño ( Coinvestigador udes - Activo)  || 
Gloria Yadira Serrano Diaz ( Coinvestigador udes - Activo)  || 
Leonor Mercedes Moreno Rangel ( Coinvestigador udes - Activo)  || 
Ligia Betty Arboleda De Perez ( Investigador - Activo)  || 
Lina Rocio Duarte Parra ( Coinvestigador udes - Activo)  || 
Lyda Victoria Rueda Hernández ( Coinvestigador udes - Activo)  || 
Maria Angela Ramirez Cruz ( Estudiante posgrado - Activo)  || 
Maria Stella Campos De Aldana ( Lider de grupo de investigación - Activo)  || 
Mayerli Katherine Rincon Romero ( Coinvestigador externo nacional - Activo)  || 
Moises Alfonso Bravo Gomez ( Investigador principal udes - Activo)  || 
Myriam  Duran Parra ( Investigador principal udes - Activo)  || 
Myriam Del Carmen Glavis Silva ( Coinvestigador udes - Activo)  || 
Olga Lorena Chaparro Diaz ( Coinvestigador externo nacional - Activo)  || 
Patricio  Lopez Jaramillo ( Investigador principal udes - Activo)  || 
Raquel  Cespedes Pinto ( Coinvestigador udes - Activo)  || 
Raquel  Rivera Carvajal ( Coinvestigador udes - Activo)  || 
Sandra Juliana  Zarate ( Estudiante posgrado - Activo)  || 
Seniet Deyanire Peñaloza Jaimes ( Estudiante posgrado - Activo)  || 
Sonia  Solano Aguilar ( Coinvestigador udes - Activo)  || 
Sonia Patricia Carreño Moreno ( Coinvestigador externo nacional - Activo)  || 
Yessica Maria Giraldo Castrillon ( Investigador - Activo) </t>
  </si>
  <si>
    <t>Maria Stella Campos De Aldana</t>
  </si>
  <si>
    <t xml:space="preserve"> Maestría</t>
  </si>
  <si>
    <t xml:space="preserve"> Ambiente y Alimentos Contaminados con Mohos y Su Relacion con el Decline Cognitivo en el Adulto Mayor; Ansiedad, Depresión, Soledad y Rol Del Cuidador de Personas con Enfermedad Crónica en el Área Metropolitana de Bucaramanga – Colombia; Caracterización de una Población Adulta Mayor en Riesgo de Desarrollar Síndrome de Fragilidad, Atendidos por la E.S.E Isabu, en el Hospital Local Del Norte, Centros de Salud el Rosario y Girardot en el Periodo 2020.; Caracterización Interdisciplinar de las Habilidades Motrices, Del Habla y Del Lenguaje, Personales y Sociales, de los Menores de 24 A 59 Meses de  Edad Del Centro de Desarrollo Infantil Modalidad Familiar  Destellos de Amor Zapamanga, Floridablanca (Línea de Base); Caracterización Sociodemográfica, Percepción de Atención en Salud y Soporte Social de las Personas con Enfermedades Huérfanas y Sus Familias en Bucaramanga.; Carga Laboral de los Profesionales de Enfermería en Unidad de Cuidados Intensivos. Estudio: “caretime Ii”; CONFIGURACIÓN DE ROLES ENFERMERÍA EN PRÁCTICA AVANZADA (EPA) EN AMÉRICA LATINA ; Construcción y Validación de una Estrategia Teleeducativa de Ejercicios para la Reducir la Progresión de la Sarcopénia en el Adulto Mayor Institucionalizado en Bucaramanga y Tunja Durante el Año 2021; Construcción y Validación de una Estrategia Teleeducativa de Ejercicios para la Reducir la Progresión de la Sarcopenia en el Adulto Mayor Institucionalizado en Bucaramanga y Tunja Durante el Año 2021.; Costo Financiero Del Cuidado Familiar Del Paciente con Enfermedad Crónica No Traasmisible de una Institución de Segundo Nivel Del Área Metropolitana de Bucaramanga; Creencias y Rutinas de las Madres Sobre la Alimentación de los Niños en Edad Preescolar Que Asisten A Control de Crecimiento y Desarrollo Isabu en el Año 2021; Cumplimiento de la Política de Humanización en los Funcionarios Del Hospital Psiquiátrico San Camilo de Bucaramanga Año 2019; Desarrollo de App para Evaluar Afectaciones por Humedad y Mohos En las viviendas; Diagnóstico y Hoja de Ruta para la Transformación de los Sistemas Alimentarios A Partir Del Enfoque Folu: Area Demostrativa de Santander; Diagnóstico y Hoja de Ruta para la Transformación de los Sistemas Alimentarios de Santander A Partir Del Enfoque Folu; Diagnóstico y Hoja de Ruta para la Transformación de los Sistemas Alimentarios de Santander A Partir Del Enfoque Folu: Sistematización de Experiencias para Cesar; Diagnóstico y Hoja de Ruta para la Transformación de los Sistemas Alimentarios de Santander A Partir Del Enfoque Folu: Sistematización de Experiencias para Norte de Santander; Diagnósticos de los Comportamientos de Automanejo en Pacientes con Enfermedad Crónica No Trasmisible de Tipo Cardiovascular en una Institución de Salud de Floridablanca.; Diseño y Evaluación de la Adherencia Al Programa Plan de Transición-Alta Hospitalaria en Paciente-Cuidador Familiar con Patología Crónica en una Institución de Segundo Nivel Del Área Metropolitana de Bucaramanga; Diseño y Evaluación de la Adherencia Al Programa Plan de Transición-Alta Hospitalaria en Paciente-Cuidador Familiar con Patología Crónica en una Institución de Segundo Nivel Del Área Metropolitana de Bucaramanga.; Efecto de una Estrategia Educomunicativa Dirigida A Personas con Factores de Riesgo Precursores para Desarrollar Enfermedad Renal Crónica en la Ciudad de Bucaramanga.; Efecto de una Intervención Multicomponente No Farmacológica en la Microbiota Intestinal Según la Susceptibilidad Genética en Adultos Mayores con Deterioro Cognitivo Leve; Efecto de una Intervención Multicomponente No Farmacológica en la Microbiota Intestinal Según la Susceptibilidad Genética en Adultos Mayores con Deterioro Cognitivo Leve. ; Eficacia de una Intervención Multicomponente e Interdisciplinaria Sobre la Habilidad de Cuidado y Sobrecarga de Cuidadores Familiares de Personas con Enfermedades Crónicas Cardiocerebrovasculares; Eficacia de una Intervención Multicomponente Sobre la Función Cognitiva para la Diada Cuidador-Paciente en el Marco de la Cohorte Pure Colombia y la Red de Apoyo Social para Cuidadores ; Entrenamiento Isométrico de Sentadilla en Pared Como Coadyuvante Del Control de la Presión Arterial: un Estudio Multicéntrico en Iberoamérica; Estado de las Condiciones de Calidad en los Programas de Derecho y Enfermería en el Área Metropolitana de Bucaramanga; Evaluación de la Eficacia Del Plan de Cuidados A Adultos Mayores con Delirium Postoperatorio; Factores Asociados A Síntomas de Ansiedad y Depresión en los Estudiantes Del Programa de Enfermería de las Udes y Ucc Bucaramanag en Ele 2017; Factores Que Afectan la Salud Mental por la Pandemia Del Covid-19 en Universitarios Del Programa de Enfermería Udes, Universidad Manuela Beltrán y Universidad de Sevilla en el Año 2021; Gastos Directos Hospitalarios Generados Al Sistema General de Seguridad Social por Parte de los Actores Viales Que Consultan A los Servicios de Salud por Lesiones Causadas por Accidentes de Tránsito en Bucaramanga Durante el Año 2018; Ideación Suicida en Estudiantes de Pregrado de la Facultad de Ciencias Medicas y de la Salud de la Universidad de Santander, 2022; Intervención Educativa para el Fortalecimiento de la Agencia de Autocuidado en Estudiantes Universitarios de I Semestre de Enfermería de la Universidad de Santander y la Universidad de Boyacá, Año 2019; Lesiones por Siniestros de Tránsito en el Área Metropolitana de Bucaramanga; Modelo Kab (Knnowledgement, Attitudes, And Behavior) Frente A la Pandemia por la Covid 19 en Enfermeras de Unidades de Cuidado Intensivo de Santander; Mohos Ambientales Intradomiciliarios y el Deterioro Cognitivo Leve en Adultos Mayores. Bucaramanga; Percepción de los Cuidados Humanizados de Enfermería para el Bienestar de las Personas; Perfil de la Participación Social en Personas con Alteraciones Mentales Crónicas de la Ciudad de Bucaramanga; Perfil Epidemiológico de los Adolescentes de Bucaramanga.; Prevalencia de Deterioro Cognitivo y Factores Asociados en Población de la Cohorte Pure Residente en Santander; Relación Causal Entre la Exposición Al Material Particulado 2.5 Ppm (Pm2.5) Producido por Incendios Forestales y la Mortalidad de Origen Cardiovascular en la Población Mayor de Edad en Colombia Entre 2009 y 2024; Relación Entre el Liderazgo Situacional y Cultura de Seguridad Del Paciente en el Servicio de Quirófanos de una Institución Prestadora de Servicios de Salud de Bucaramanga 2017; Ruta de Formación de Competencias en Salud Pública y Atención Primaria en Salud, en el Programa de Enfermería de la Universidad de Santander; Ruta de Formación de Competencias en Salud Pública y Atención Primaria en Salud, en el Programa de Enfermería de la Universidad de Santander Fase Ii; Seguimiento de Biomarcadores en el Envejecimiento y la Vitalidad en Diferentes Etapas de la Vida "Senvida"; Seguimiento Realizado por la Enfermera A los Recién Nacidos en el Isabu en el Año 2021; Validación de Rúbrica para Evaluación de la Práctica Clínica en Enfermería: Formación por Competencias Profesionales por Medio de Aula Extendida Moodle</t>
  </si>
  <si>
    <t xml:space="preserve"> Cuidado Cardiovascular y Metabólico    ; Cuidado Clínico de la Salud    ; Cuidado Comunitario    ; Gerencia y Gestión Del Cuidado y Servicios de Salud    ; Salud Pública    </t>
  </si>
  <si>
    <t xml:space="preserve"> Cuidemos ; Cuiden ; Cuinfante; GreenMind; Jovenes Investigadores Enfermeros Jinurse</t>
  </si>
  <si>
    <t>GRUPO DE DESARROLLO EXPERIMENTAL Y TECNOLOGICO - GEDETECGRUPO DE DESARROLLO EXPERIMENTAL Y TECNOLOGICO - GEDETECGRUPO DE DESARROLLO EXPERIMENTAL Y TECNOLOGICO - GEDETECGRUPO DE DESARROLLO EXPERIMENTAL Y TECNOLOGICO - GEDETEC</t>
  </si>
  <si>
    <t>Ciencias del Deporte</t>
  </si>
  <si>
    <t>Medicina (018 - Valledupar)</t>
  </si>
  <si>
    <t xml:space="preserve">
Adriana  Angarita Fonseca ( Investigador - Activo)  || 
Adriana Marcela Jácome Hortúa ( Investigador - Activo)  || 
Diana  Marcela Niño ( Investigador - Activo)  || 
Emerson Julian Rincón Castillo ( Investigador - Activo)  || 
Erika Tatiana Paredes Prada ( Investigador - Activo)  || 
Esmeria Graciela Tapia Caez ( Investigador - Activo)  || 
Gina Maureth Bustos Leon ( Lider de grupo de investigación - Activo)  || 
Javier  Carreño Robayo  ( Investigador - Activo)  || 
Jhosman Alfonso Buitrago Buitrago ( Investigador - Activo)  || 
Juan Carlos Sanchez Delgado ( Investigador - Activo)  || 
Juan David Gutierrez Torres ( Investigador - Activo)  || 
Karen Margarita Duran Osorno ( Investigador - Activo)  || 
Laura Cecilia Ardila Pereira ( Investigador - Activo)  || 
Loraine Zenith Martinez Montenegro ( Investigador - Activo)  || 
Ludivia Esther Montaño Villalba ( Colider de grupo de investigación - Activo)  || 
Luis Eduardo Rojas Cano ( Investigador - Activo)  || 
Luis Felipe Anaya Duarte ( Investigador - Activo)  || 
María Constanza Villamizar García ( Investigador - Activo)  || 
Myriam Esther Arias Ochoa ( Investigador - Activo)  || 
Rocio Del Pilar Martinez Marin ( Investigador - Activo)  || 
Sandra Yohana Quintero Moya ( Investigador - Activo)  || 
Zully Rocío Rincón Rueda ( Investigador - Activo) </t>
  </si>
  <si>
    <t>GINA MAURETH BUSTOS LEON</t>
  </si>
  <si>
    <t xml:space="preserve"> Maestría; Tomado Desde Orcid, No Asociado por Investigador; Universitaria</t>
  </si>
  <si>
    <t xml:space="preserve"> Actividad Física y Hábitos Alimentarios Sobre los Cambios Del Perfil Lipídico de Niños Entre 2-5 de Edad en la Ciudad de Valledupar; Adaptación Transcultural y Validación de la Estrategia de Mitigación de Barreras para Acceder A los Servicios de Rehabilitación Cardíaca Creada por el Iccpr; Alteraciones Posturales y Su Relación con el Tiempo Pantalla y Nivel de Actividad Física en Jóvenes Que Inician Estudios Universitarios.; Aplicación de Métodos de Analítica de Datos y Machine Learning en el Análisis Causal de Fenómenos Ambientales y Socioeconómicos y Su Impacto en la Salud Pública en Colombia; Aplicación de una Estrategia Educativa para la Prevención de Quemaduras en Menores de 5 Años. un Estudio Multicéntrico en Regiones de Colombia y Costa Rica ; Asociación Entre Parámetros de Fuerza Isométrica y Aspectos Relacionados con la Salud Cardiovascular de Pacientes Revascularizados por Síndrome Coronario Agudo.; Ayudas Técnicas para la Minimización Del Impacto de la Discapacidad en Materia de Funcionalidad Sobre las Condiciones de Salud en las Personas con Discapacidad Física de la Ciudad de Valledupar.; Caracterización Sociodemográfica, Percepción de Atención en Salud y Soporte Social de las Personas con Enfermedades Huérfanas y Sus Familias en Bucaramanga.; Confiabilidad de la Escala de Barreras para la Rehabilitación Cardiaca en Población Colombiana; Construcción y Validación de una Estrategia Teleeducativa de Ejercicios para la Reducir la Progresión de la Sarcopénia en el Adulto Mayor Institucionalizado en Bucaramanga y Tunja Durante el Año 2021; DATASET INTEGRADO DE AEROSOLES ATMOSFÉRICOS, VARIABLES CLIMÁTICAS Y MORTALIDAD RESPIRATORIA EN POBLACIÓN GERIÁTRICA URBANA: BASE PARA APLICACIONES DE INTELIGENCIA ARTIFICIAL EN SALUD AMBIENTAL ; Diferencias de Fuerza Prensil, Variabilidad de la Frecuencia Cardiaca y la Salud Mental en Personas con y sin Enfermedad Cardiovascular de la Ciudad de Bucaramanga, 2025; Diferencias de Fuerza Prensil, Variabilidad de la Frecuencia Cardiaca y la Salud Mental en Personas con y sin Enfermedad Cardiovascular de la Ciudad de Valledupar; Diseño de Estrategias de Enseñanza-Aprendizaje Inclusivas para Estudiantes con Discapacidad Auditiva en la Universidad de Santander; Diseño de Estrategias Innovadoras para la Promoción de Estilos de Vida Saludable en Estudiantes Universitarios de la Ciudad de Valledupar, 2019; Diseño y Validación de una Herramienta Pedagógica de Simulación, para el Razonamiento Profesional, en la Evaluación e Intervención Fisioterapéutica de los Sistemas Musculoesquelético e Integumentario; Eco-Epidemiología de Enfermedades Infecciosas Tropicales; Efectividad Del Ejercicio Físico Sobre Alteraciones de la Salud Mental en Población Adulta; Efecto de 8 y 12 Semanas de Acondicionamiento Fisico Sobre la Capacidad Funcional en Sujetos Que Han Sido Sometidos A Revascularización Coronaria.; Efecto de Conflicto Armado en las Condiciones de Salud de los Excombatientes de las Farc Ubicados en el Corregimiento de San José de Oriente, Municipio de la Paz – Cesar.; Efecto de una Intervención para Mitigar las Barreras en la Participación y Adhesión A los Programas de Rehabilitación Cardíaca, un Ensayo Clinico Aleatorizado; Efecto de una Intervención para Mitigar las Barreras en la Participación y Adhesión A los Programas de Rehabilitación Cardíaca, un Ensayo Clínico Aleatorizado ; Efecto Del Ejercicio Físico Sobre la Salud Cardiometabólica de Mujeres Posmenopáusicas: Revisión Sistémica.; Efecto Del Programa Madre Canguro Sobre el Desarrollo Neuromotor, la Lactancia Materna y el Vínculo de Apego en la Diada Madre – Bebé Prematuro/A.; Efecto Post Agudo Del Covid-19 en el Sistema Músculo Esquelético en Pacientes de la Ciudad de Valledupar.; Efectos de una Intervección Educativa Sobre los Conocimientos en la Atención Primaria en Salud y en el Modelo Intefral de Atención en Salud (Mias) en Estudiantes y Profesionales en Fiosterapia de Bucaramanga; Ejemplo 20 Octubre; El Diseño Universal en las Edificaciones de las Instituciones de Prestación de Servicios de Salud de Alta Complejidad Ubicadas en Bucaramanga y Área Metropolitana: Realidad o Utopía; Entrenamiento Isométrico de Sentadilla en Pared Como Coadyuvante Del Control de la Presión Arterial: un Estudio Multicéntrico en Iberoamérica; Estado de las Condiciones de Salud Mental y Su Influencia en el Desempeño Académico de Estudiantes de Prácticas de la Facultad de Ciencias Médicas y de la Salud de la Universidad de Santander Campus Valledupar ; Estrategia de Telesalud para la Promoción de Estilos de Vida Saludable Dirigida A los Profesores de Bucaramanga y Su Área Metropolitana en el Marco Del Covid-19: una Prueba Piloto. ; Estudio Comparativo de los Efectos de la Rehabilitación Cardíaca Sobre Parámetros Autonómicos, Hemodinámicos, Metabólicos y de Condición Física Entre los Sujetos Sometidos A Revascularización Percutánea y Bypass por Síndrome Coronario Agudo; Estudio Comparativo Del Estado de las Condiciones de Salud Mental y Su Influencia en el Desempeño Académico de Estudiantes de Prácticas de la Facultad de Ciencias Médicas y de la Salud de Universidades Colombianas y una Universidad de Costa Rica. ; Evaluación de la Asociación Entre la Extensión de la Minería Ilegal y la Incidencia de Malaria en los Municipios de Colombia Entre 2009 y 2024; Evaluación de la Asociación Entre la Tasa de Deforestación en los Municipios Del País y la Incidencia de Leishmaniasis Cutánea, Entre el 2007 y 2024.; Evaluación de una Intervención Educativa en Rehabilitación Cardiaca A Través de Whatsapp Usando un Ensayo Clínico Controlado Aleatorizado; Evaluación de una Intervención para Mitigar las Barreras en la Participación y Adhesión A los Programas de Rehabilitación Cardíaca: un Estudio Multimétodo, con Ensayo Aleatorizado Multicentrico; Evaluación Del Impacto de los Programas de Rehabilitación Integral en una Institución de Alto Nivel de Complejidad “rehaeval”país de Implementación: Colombia; Factores Asociados A la Práctica y Abandono de la Lactancia Materna en Madres Adolescentes; Factores Institucionales Asociados A los Procesos de Educación Inclusiva en la Universidad de Santander Udes Valledupar.; Identificación de Klebsiella Pneumoniae  y Pseudomonas Aeruginosa Asociadas A la Resistencia de Carbapenemasas en Aislamientos de Diferentes Áreas de Servicio y Población en el Departamento Del Cesar. ; Identificación de las Necesidades y Especificación de Requisitos para el Diseño de una Herramienta Tecnológica para el Fortalecimiento de la Musculatura Core en Adultos con Dolor Lumbar Inespecífico. Fase I y Ii.; Intervención Educativa en Telerehabilitación Dirigida A los Fisioterapeutas de Bucaramanga y Su Área Metropolitana: una Prueba Piloto.; LeptoCol-UDES: Dataset de casos de leptospirosis, Variables Hidroclimáticas y Vulnerabilidad Socioeconómica para uso con Inteligencia Artificial en Colombia (2007–2023); Modelos Predictivos para el Tratamiento Fisioterapéutico en Patologías Del Sistema Musculo Esquelético. Revisión Sistemática y Análisis Crítico de la Literatura.; Parasitismo Intestinal en Niños Menores de 6 Años de Edad de la Ciudad de Valledupar y Su Relación con el Estado Nutricional y el Desarrollo Motor; Patrones y Estrategias de Colaboración Científica de los Fisioterapeutas Investigadores de la Región Caribe; Percepciones de los Pacientes y Proveedores de la Rehabilitación Cardiaca Sobre una Estrategia de Mitigación Que Disminuya las Barreras para la Participación. ; Perfil de Salud y Concepciones Sobre el Acceso A Servicios de Salud en la Comunidad Indígena Kogui Del Resguardo Maruámake; Producción Científica de Fisioterapia en Atención Primaria en Salud (1999 – 2019); Relación Causal Entre la Exposición Al Material Particulado 2.5 Ppm (Pm2.5) Producido por Incendios Forestales y la Mortalidad de Origen Cardiovascular en la Población Mayor de Edad en Colombia Entre 2009 y 2024; Relación Entre los Factores de Riesgo Cardiovascular y la Vitamina D Sérica en Mujeres Postmenopaúsicas de la Cuidad de Valledupar-Colombia; Relación Entre  la Situación de Desplazamiento con la Calidad de Vida en Términos de Salud en Mujeres; Ruta de Acción para Fortalecer Competencias en Salud Pública y Aps en el Programa de Fisioterapia de la Universidad de Santander.  Fase Ii.; Ruta de Formación de Competencias en Salud Pública y Aps en el Programa de Fisioterapia de la Universidad de Santander; Satisfacción de los Usuarios Que Reciben Intervención Fisioterapéutica por Estudiantes en Prácticas en Instituciones Docencia Servicio; Trastorno de Espectro Autista y Su Relación con el Eje Cerebro-Intestino-Microbiota en Niños y Niñas de la Ciudad de Valledupar.; Validez y Confiabilidad de la Versión Español Del Pregnancy Physical Activity Questionnarie (Ppaq) en Población Colombiana; Validez y Confiabilidad Del Cuestionario Multidimensional Attitudes Scale Toward Persons With Disabilities – Más en Universitarios de Colombia; Voces que inspiran: diseño participativo de material educativo accesible para el empoderamiento de derechos de personas con discapacidad en el Área Metropolitana de Bucaramanga. </t>
  </si>
  <si>
    <t xml:space="preserve"> Actividad Física, Ejercicio y Salud    ; Clinica y Movimiento    ; Educación, Discapacidad e Inclusión    ; Salud Pública y Epidemiologia    ; Salud y Seguridad en el Trabajo    </t>
  </si>
  <si>
    <t xml:space="preserve"> Actividad Fisica; Angwnamusy; Aps, Principio de una Atención  Integral en Salud; Brain, Life And Movement ; Ciencias Médicas; Kinetics Human Body; Moving Machines; Moving Playing And Learning; Physical Activity And Health; Physis - Bucaramanga; Quality &amp; Physical Therapy	; Safety And Health At Work ; Salud y Movimiento; Sinapsis- Valledupar</t>
  </si>
  <si>
    <t>FISIOTERAPIA INTEGRAL</t>
  </si>
  <si>
    <t xml:space="preserve"> Unidad: Terapia Ocupacional (010 - Bucaramanga); Unidad: Medicina (018 - Bucaramanga); Unidad: Maestría en Gestión de Servicios de Salud (080 - Bucaramanga); Unidad: Instrumentación Quirúrgica (002 - Bucaramanga); Unidad: Fonoaudiología (011 - Bucaramanga); Unidad: Enfermería (028 - Bucaramanga); Unidad: Departamento de Salud Pública</t>
  </si>
  <si>
    <t xml:space="preserve">
Adriana Lucia Acevedo Supelano ( Coinvestigador udes - Activo)  || 
Alvaro Hernando Castañeda Hernandez ( Investigador - Activo)  || 
Ana Marcely Perez Casanova ( Lider de grupo de investigación - Activo)  || 
Astrid Nathalia Páez Esteban ( Investigador - Activo)  || 
Belky Sulay Palacio Neira ( Investigador principal udes - Activo)  || 
Carlos Fernando  Paredes Gómez  ( Investigador - Activo)  || 
Diana Marcela Galvan Canchila ( Investigador principal udes - Activo)  || 
Edwing Alberto Urrea Vega ( Coinvestigador externo nacional - Activo)  || 
Eliany  Pedrozo Araque ( Investigador principal udes - Activo)  || 
Erika Yurley Duran Niño ( Investigador - Activo)  || 
Felipe  Rafael Esquiaqui  ( Investigador - Activo)  || 
Henly Mylene Florez Villamizar ( Investigador - Activo)  || 
Johana  Gutiérrez Zehr ( Investigador principal udes - Activo)  || 
Johanna  Tapias Rivera ( Investigador principal udes - Activo)  || 
Johanna Alejandra Otero Wandurraga ( Coinvestigador externo internacional - Activo)  || 
Jose Arnulfo Perez Carrillo ( Estudiante posgrado - Activo)  || 
Laura Marcela Uribe Calderon ( Tutor de semillero de investigación - Activo)  || 
Lina Fernanda  Casadiegos Patiño  ( Investigador - Activo)  || 
Maria Stella Campos De Aldana ( Coinvestigador udes - Activo)  || 
Maria Teresa Aguirre Jimenez ( Tutor de semillero de investigación - Activo)  || 
Raquel  Rivera Carvajal ( Coinvestigador externo nacional - Activo)  || 
Sahira Gimena Franco Hernández ( Investigador - Activo) </t>
  </si>
  <si>
    <t>ERIKA YURLEY DURAN NIÑO</t>
  </si>
  <si>
    <t xml:space="preserve"> “evaluación Del Impacto Del Programa de Profesor Visitante de la Red de Rehabilitadores de las Américas con Apoyo de la Universidad de Santander, para Fortalecer las Capacidades en Rehabilitación en la Costa Norte de Honduras, Realizado Entre 2017/2019”; Actitudes y Prácticas de Cuidado de la Salud Física y Mental en Dos Comunidades de la Ciudad de Bucaramanga en el Marco de la Pandemia por Covid-19 para la Construcción de un Protocolo de Promoción...; Análisis de la Relación de la Ocurrencia de Leptospirosis con la Precipitación y la Temperatura en las Principales Ciudades de Colombia; Análisis de Seguimiento A Egresados Del Programa de Instrumentación Quirúrgica de la Universidad de Santander de Bucaramanga; Análisis Del Grado de Conocimiento y Habilidades en Salud Sexual y Reproductiva en Estudiantes de Programas de Salud en la Universidad de Santander Bucaramanga.; Análisis Del Impacto Socioeconómico, Ocupacional y Su Influencia en la Calidad de Vida Del Flujo Migratorio Mixto en Bucaramanga Colombia. ; Análisis Epidemiológico de los Marcadores Infecciosos Procesados en Donantes Vivos de Tejido Óseo en un Banco de Tejidos de la Ciudad de Bucaramanga.; Arqueología, biodiversidad y STEM: un puente de arte y ciencia para resignificar el patrimonio de Hibácharo (Piojó - Atlántico); Caracterización de las Estrategias Pedagógicas Utilizadas por los Docentes con Respecto A los Procesos Escriturales en los Programas Adscritos A la Facultad de Ciencias de la Salud de la Universidad de Santander de Bucaramanga; Caracterización de las Habilidades Vocacionales de Mujeres en Situación de Vulnerabilidad Pertenecientes Al Centro de Formaciónn de las Religiosas Adoratrices de la Cuidad de Bucaramanga; Caracterización Interdisciplinar de las Habilidades Motrices, Del Habla y Del Lenguaje, Personales y Sociales, de los Menores de 24 A 59 Meses de  Edad Del Centro de Desarrollo Infantil Modalidad Familiar  Destellos de Amor Zapamanga, Floridablanca (Línea de Base); Caracterización Sociodemográfica, Percepción de Atención en Salud y Soporte Social de las Personas con Enfermedades Huérfanas y Sus Familias en Bucaramanga.; CONFIGURACIÓN DE ROLES ENFERMERÍA EN PRÁCTICA AVANZADA (EPA) EN AMÉRICA LATINA ; Conocimientos y Actitudes de los Profesionales Sanitarios de los Centros de Salud de los Barrios Café Madrid y Colorados (Bucaramanga, Santander) Respecto A la Salud y Su Relación con los Derechos Sexuales y Reproductivos de las Adolescentes y Niñas; Costo Financiero Del Cuidado Familiar Del Paciente con Enfermedad Crónica No Traasmisible de una Institución de Segundo Nivel Del Área Metropolitana de Bucaramanga; Creencias y Rutinas de las Madres Sobre la Alimentación de los Niños en Edad Preescolar Que Asisten A Control de Crecimiento y Desarrollo Isabu en el Año 2021; Cualificación de las Madres Que Trabajan en Hogares Comunitarios en el Municipio de Floridablanca en Estrategias de Intervención para el Desarrollo Motor y Del Lenguaje en Niños de 2 A 4 Años 11 Meses de Edad; Cumplimiento de la Política de Humanización en los Funcionarios Del Hospital Psiquiátrico San Camilo de Bucaramanga Año 2019; Determinantes Ambientales y Sociales de la Ocurrencia de Conglomerados Espaciotemporales de Malaria en Colombia; Determinantes Sociodemográficos Asociados A Conglomerados Espacio-Temporales de Mortalidad Materna y Mortalidad Perinatal y Neonatal Tardía en Colombia; Diagnósticos de los Comportamientos de Automanejo en Pacientes con Enfermedad Crónica No Trasmisible de Tipo Cardiovascular en una Institución de Salud de Floridablanca.; Diferencias de Fuerza Prensil, Variabilidad de la Frecuencia Cardiaca y la Salud Mental en Personas con y sin Enfermedad Cardiovascular de la Ciudad de Bucaramanga, 2025; Discusión la Influencia de los Procesos Artísticos en la Sensibilización de la Comunidad Académica Udes Bogotá en el Año 2025 Frente A la Humanización Del Paciente Quirúrgico.; DISEÑO DE MODELO NARRATIVO TRANSMEDIA, QUE PROMUEVA ENTORNOS SALUDABLES EN LA INFANCIA (6-11 AÑOS) DE LA FUNDACIÓN SEMILLAS DE ILUSIÓN EN CENTROABASTOS BUCARAMANGA. ; Diseño de una de Ruta de Formación para el Desarrollo de Competencias en Salud Pública y Aps en el Programa de Fonoaudiología de la Universidad de Santander; Diseño de una Ruta de Formación de Competencias en Salud Pública y Aps en el Programa de Terapia Ocupacional de la Universidad de Santander; Diseño de una Ruta de Formación de Competencias en Salud Pública y Aps en el Programa de Terapia Ocupacional Universidad de Santander. Fase 2; Diseño de una Ruta de Formación para el Desarrollo de Competencias en Salud Pública y Aps en el Programa de Fonoaudiología de la Universidad de Santander. Fase Ii; Diseño y Evaluación de la Adherencia Al Programa Plan de Transición-Alta Hospitalaria en Paciente-Cuidador Familiar con Patología Crónica en una Institución de Segundo Nivel Del Área Metropolitana de Bucaramanga.; Diseño y publicación de un dataset para IA sobre infecciones transmisibles por transfusión en Bogotá (2020–2024); Diseño, Aplicabilidad y Efectividad de Estrategias para Estimular el Lenguaje Oral y Lectoescrito en Población en Situación de Vulnerabilidad Que Oscilan Entre las Edades de 6 A 10 Años con Trastornos Comunicativos y Del Aprendizaje; Efecto de una Intervención para Mitigar las Barreras en la Participación y Adhesión A los Programas de Rehabilitación Cardíaca, un Ensayo Clínico Aleatorizado ; Ejemplo 20 Octubre; Elaboracion de los Baremos de Glifing en Colombia Fase 2; Estado de ánimo, equilibrio ocupacional y calidad de vida en un grupo de estudiantes universitarias madres de familia que pertenecen a programas de salud. ; Estado de las Condiciones de Salud Mental y Su Influencia en el Desempeño Académico de Estudiantes de Prácticas de la Facultad de Ciencias Médicas y de la Salud de la Universidad de Santander Campus Bucaramanga  ; Estado de las Condiciones de Salud Mental y Su Influencia en el Desempeño Académico de Estudiantes de Prácticas de la Facultad de Ciencias Médicas y de la Salud de la Universidad de Santander Campus Valledupar ; Estado Del Bienestar General de Satisfacción Laboral en Trabajadores Formales de las Empresas Agremiadas A la Asociación Nacional de Industriales Andi Del Área Metropolitana de Bucaramanga, Fase I; Estimación de la Asociación Existente Entre el Ciclo el Niño-La Niña y la Ocurrencia de Leishmaniasis Cutánea en Colombia Durante el Periodo 2007-2021 ; Estrategia de co-creación para visibilizar el manejo de residuos hospitalarios y su impacto ambiental, mediante la memoria social y la fotografía en una comunidad de una Institución Prestadora de Servicios de Salud.; Estudio Comparativo Del Estado de las Condiciones de Salud Mental y Su Influencia en el Desempeño Académico de Estudiantes de Prácticas de la Facultad de Ciencias Médicas y de la Salud de Universidades Colombianas y una Universidad de Costa Rica. ; Estudio Eco Epidemiológico Del Foco de Leishmaniosis Cutánea y Mucocutánea Canina en Norte de Santander; Evaluación de la Osteointegración en Pacientes Sometidos A Artrodesis de Columna Vertebral con Implantación de Aloinjerto de Donante Vivo, en la Ciudad de Bucaramanga, Santander; Evaluación Del Impacto Del Programa de Profesor Visitante de la Red de Rehabilitadores de las Américas con Apoyo de la Universidad de Santander, para Fortalecer las Capacidades en Rehabilitación en la Costa Norte de Honduras, Realizado Entre 2017/2019; Evaluación Utilidad Clínica Del Marcador Sdma (Dimetil Arginina Simétrica) y Creatinina en el Diagnóstico Temprano de Enfermedad Renal   en Caninos Clínica Veterinaria de la Ciudad de Cúcuta.; Experiencias de Docentes y Estudiantes  en la Evaluación Formativa de la Competencia Investigativa.  Aplicación Del Instrumento Lishabilci; Exposición A Ruido en Ambiente Laboral: Identificación de Potenciales Fuentes de Riesgo para la Perdida de Capacidad Auditiva en Estudiantes y Docentes de la Facultad de Odontología-Usta.; Fortalecimiento de Capacidades en Rehabilitación en Honduras A Través de Talleres Comunitarios; Impacto de la Transición  Epidemiológica en los Factores de Riesgo y Desenlaces Cardiovasculares en la Última Década: Estudio Pure Colombia; Influencia Del Desarrollo de los Reflejos en el Aprendizaje de la Primera Infancia Desde Experiencias de Maestros y Profesores Universitarios.   ; Intervención Integral en las Dificultades de Adquisición de la Lectura y Escritura: Equinoterapia y Talleres de Lenguaje Escrito- Intervenção Integrada Nas Dificuldades de Aquisição Da Leitura e Da Escrita: Equoterapia, Natação e Oficinas de Linguagem Escrita; Lesiones por Siniestros de Tránsito en el Área Metropolitana de Bucaramanga; Modelo Kab (Knnowledgement, Attitudes, And Behavior) Frente A la Pandemia por la Covid 19 en Enfermeras de Unidades de Cuidado Intensivo de Santander; Objeto Virtual de Aprendizaje para el Reconocimiento y Afrontamiento Del Estrés Percibido en  Estudiantes de Ciencias de la Salud en el Nororiente Colombiano; Perfil de la Participación Social en Personas con Alteraciones Mentales Crónicas de la Ciudad de Bucaramanga; Perfil Epidemiológico de los Adolescentes de Bucaramanga.; Prevalencia de Deterioro Cognitivo y Factores Asociados en Población de la Cohorte Pure Residente en Santander; Programa de Intervención de la Población Adulta Mayor Vinculada Al Asilo San Rafael y la Fundación Albeiro Vargas y Ángeles Custodios de la Ciudad de Bucaramanga,Usando un Modelo Cognitivo; Termómetro Social Covid-19, Colombia. Respuesta Poblacional Frente A la Pandemia y A las Medidas de Salud Pública Implementadas. ; Validación de Contenido de la Herramienta Tecnológica para el Acompañamiento Preventivo de la Voz en los Profesores de la Universidad de Santander.  Fase I.; Validación Del Test de Evaluación Del Lenguaje Oral en Colombia Teloc.</t>
  </si>
  <si>
    <t xml:space="preserve"> Evaluación de Intervenciones    ; Gestión de Servicios de Salud    ; Salud Pública    </t>
  </si>
  <si>
    <t xml:space="preserve"> Argot ; Génesis ; Ginto </t>
  </si>
  <si>
    <t>SALUD PUBLICA UDES</t>
  </si>
  <si>
    <t>Enfermedades Infecciosas</t>
  </si>
  <si>
    <t xml:space="preserve"> Unidad: Medicina (018 - Bucaramanga); Unidad: Masira; Unidad: Maestría en Investigación en Enfermedades Infecciosas (086 - Bucaramanga); Unidad: Maestría en Gestión de Servicios de Salud (080 - Bucaramanga); Unidad: Instrumentación Quirúrgica (002 - Bucaramanga); Unidad: Fonoaudiología (011 - Bucaramanga); Unidad: Fisioterapia (014 - Bucaramanga); Unidad: Especialización en Gerencia de la Calidad y Auditoria de Servicios de Salud (075 - Arauca); Unidad: Especialización en Gerencia de Instituciones de Salud (073 - Bucaramanga); Unidad: Doctorado en Enfermedades Infecciosas (070 - Bucaramanga); Unidad: Bacteriología y Laboratorio Clínico (017 - Bucaramanga)</t>
  </si>
  <si>
    <t xml:space="preserve">
Adriana  Angarita Fonseca ( Investigador - Activo)  || 
Alexandra Patricia Jaimes Barros ( Investigador - Activo)  || 
Ana Elvira Farfán García ( Lider de grupo de investigación - Activo)  || 
Andrea Johana Parada Diaz ( Investigador - Activo)  || 
Carlos Enrique Osorio Alvarado ( Colider de grupo de investigación - Activo)  || 
Claudia Ximena Montes Rincon ( Investigador - Activo)  || 
Daniel Adyro Martinez Bello ( Investigador - Activo)  || 
Diego Andres Goyeneche Patino ( Investigador - Activo)  || 
Edna Maritza Carvajal Barrera ( Investigador - Activo)  || 
Efrain Hernando Pinzon Reyes ( Investigador - Activo)  || 
Erika Marcela Moreno Moreno ( Investigador - Activo)  || 
Isabel Cristina Gomez Diaz ( Investigador - Activo)  || 
Jessica Juliana Mantilla Gualdron ( Investigador - Activo)  || 
Jhancy Rocio Aguilar Jiménez ( Investigador - Activo)  || 
Johana  Gutiérrez Zehr ( Investigador - Activo)  || 
Johanna  Tapias Rivera ( Investigador - Activo)  || 
Jorge Alexander Silva Sayago ( Investigador - Activo)  || 
José David Vargas Caicedo ( Coinvestigador udes - Activo)  || 
Juanita  Trejos Suárez ( Investigador - Activo)  || 
Laura Victoria Jaimes Toloza ( Investigador - Activo)  || 
Liliana Torcoroma García Sánchez ( Investigador - Activo)  || 
Luz Amanda Bueno Balaguer ( Investigador - Activo)  || 
Lyda Victoria Rueda Hernández ( Investigador - Activo)  || 
Mabel Margoth Reyes Pulido ( Investigador - Activo)  || 
María Cristina Vásquez De Diaz ( Investigador - Activo)  || 
María Kamila Prieto Monsalve ( Investigador - Activo)  || 
Martha Liliana Hijuelos Cardenas ( Investigador - Activo)  || 
Martha Viviana Roa Cordero ( Investigador - Activo)  || 
Melissa  Rincon Cediel ( Investigador - Activo)  || 
Milena  Boneth Collante  ( Investigador - Activo)  || 
Monica Yurley Arias Guerrero ( Investigador - Activo)  || 
Nohora Juliana  Rueda Forero  ( Investigador - Activo)  || 
Omar Alberto Dominguez Amorocho ( Investigador - Activo)  || 
Rocio Del Pilar Martinez Marin ( Investigador - Activo)  || 
Sandra Milena Leal Pinto ( Investigador - Activo)  || 
Sandra Patricia Ortiz Rodriguez ( Investigador - Activo)  || 
Zully Rocío Rincón Rueda ( Investigador - Activo) </t>
  </si>
  <si>
    <t>ANA ELVIRA FARFÁN GARCÍA</t>
  </si>
  <si>
    <t xml:space="preserve"> Especialización Universitaria; Maestría; Tomado Desde Orcid, No Asociado por Investigador; Universitaria</t>
  </si>
  <si>
    <t xml:space="preserve">  Incidencia de Infección por Sars-Cov-2 y Factores Asociados en Escolares de Santander Durante el Año 2022.; “evaluación Del Impacto Del Programa de Profesor Visitante de la Red de Rehabilitadores de las Américas con Apoyo de la Universidad de Santander, para Fortalecer las Capacidades en Rehabilitación en la Costa Norte de Honduras, Realizado Entre 2017/2019”; Actividad Antioxidante y Tripanocida de Nanoencapsulados de Extractos Polifenólicos de Theobroma Cacao Sobre Cardiomioblastos Infectados con Trypanosoma Cruzi; Adaptación Tecnológica y Desarrollo de Protocolos para la Unidad de Ciencia de Datos en Salud; Alternativas Pacíficas de Resolución de Conflictos Cotidianos en el Municipio de Girón (Santander), Desde las Experiencias de la Organización la Comadre; Análisis de la Actividad Inhibitoria de Quorum-Sensing de Proteínas Variantes de la Lactonasa Aiia de Bacillus Thuringiensis Sobre la Expresión de los Factores de Virulencia Mediados por Quorum Sensing en Pseudomonas Aeruginosa.; Análisis de Seguimiento A Egresados Del Programa de Instrumentación Quirúrgica de la Universidad de Santander de Bucaramanga; Análisis Epidemiológico en Ganadería Bovina Del Municipio de Sincelejo y Tolú Viejo (Sucre); Análisis Epigenético Del Dimorfismo de Hongos; Análisis Microbiológico y Químico de las Máquinas de Anestesia en Instituciones de Salud Del Departamento de Santander.; Aplicación de Sistemas Combinados para el Estudio de los Mecanismos de Acción Antibacteriana de Péptidos Ib-M Libres y Conjugados Contra Escherichia Coli.; Arqueología, biodiversidad y STEM: un puente de arte y ciencia para resignificar el patrimonio de Hibácharo (Piojó - Atlántico); Asociación Entre Parámetros de Fuerza Isométrica y Aspectos Relacionados con la Salud Cardiovascular de Pacientes Revascularizados por Síndrome Coronario Agudo.; Autocuidado y Estilos de Vida Saludables en Niños de 5 A 6 Años de la Fundación Gestora Integral Fungeinco de la Localidad de San Cristóbal Bogotá.; Bioprospección de Nanoemulsiones Basadas en Aceites Esenciales Del Género Cymbopogon Frente A Microorganismos Transmitidos en Ambientes Intrahospitalarios. Fase Ii ; Biosíntesis de Nanopartículas de Cobre y Plata Usando Extractos de Moringa Oleífera: Propiedades Fisicoquímicas y Actividad Biológica; Biosíntesis de Nanopartículas de Cobre y Plata Usando Extractos de Moringa Oleífera: Propiedades Físicoquímicas y Actividad Biológica; Caracterización Automática de Heridas: un Modelo para la Clasificación en Imágenes Bidimensionales de Úlceras por Presión y Venosas; Caracterización Del Patrón de Susceptibilidad de Helicobacter Pylori A Seis Antibióticos en Cepas Aisladas de Pacientes con Enfermedades Gastroduodenales Del Oriente de Antioquía, Medellín y Apartado Entre 2015-2019; Caracterización Fenotipica y Genotipica de Aislamientos de Escherichia Coli de Pollos de Engorde en Santander, Colombia.; Caracterización Genómica y Fenotípica de Cepas Bacterianas Pertenecientes A los Géneros Enterococcus Spp, Lactococcus Spp y Streptococcus Spp. Aisladas de Pollos de Engorde con Potencial Probiótico; Caracterización Interdisciplinar de las Habilidades Motrices, Del Habla y Del Lenguaje, Personales y Sociales, de los Menores de 24 A 59 Meses de  Edad Del Centro de Desarrollo Infantil Modalidad Familiar  Destellos de Amor Zapamanga, Floridablanca (Línea de Base); Caracterización Serológica y Molecular Del Virus de la Hepatitis B (Vhb) en Donantes de Bancos 57637de Sangre de la Región Nororiental de Colombia Positivos para Anticuerpos Contra el Core Del Vhb (Anti-Hbc).; Caracterización y Evaluación Del Potencial Aprovechamiento de los Residuos Sólidos Especiales Generados en Establecimientos Públicos y Privados Que Manipulan Residuos Peligrosos y Hospitalarios en el Municipio de Bucaramanga, Santander.; Caracterización y Uso de Microorganismos con Potencial Probiótico Aislados de Pollos de Engorde Como Estrategia para Fortalecer la Producción y la Seguridad Alimentaria en la Industria Avícola de Colombia.; Coinfección Bacteriana Asociada A la Covid-19 y Resistencia A Antimicrobianos en Pacientes Hospitalizados de la Región de Santander – Colombia Durante el Año 2020.; Comparación Del Efecto de la Alimentación Convencional en Pollos de Engorde Frente A la Alimentación Convencional Suplementada con Mezclas de Bacterias con Potencial Probiótico en Variables Zootécnicas, Inmunes y Patológicas Intestinales.; Confiabilidad de la Escala de Barreras para la Rehabilitación Cardiaca en Población Colombiana; Conocimientos, Actitudes y Creencias Determinantes para la Donación de Órganos y Tejidos Sanguíneos en Población Adulta de 20 A 45 Años de la Ips Hospital Universitario Clínica San Rafael de la Ciudad de Bogotá. ; Construcción de una Herramienta Tecnológica Tipo App para el Acompañamiento Preventivo de la Voz en los Profesores de la Universidad de Santander. Fase Ii.; Creación de Medio Divulgativo para Resultados de Investigaciones en Sentido Estricto y Tesis de Grado2020-2021de la Universidad Santanderde Panamá.; Cualificación de las Madres Que Trabajan en Hogares Comunitarios en el Municipio de Floridablanca en Estrategias de Intervención para el Desarrollo Motor y Del Lenguaje en Niños de 2 A 4 Años 11 Meses de Edad; Defecto en la Decidualización de las Células Deciduales Estromales Humanas Procedentes de Diferentes Partos; Desarrollo de Nanobioconjugados de Péptidos Mutados Cry11 de Bacillus Thuringiensis, y Su Determinación Larvicida en Aedes Aegypti.; Detección de Patógenos Periodontales en Pacientes con Enfermedad Periodontal Consultantes A Clínica de la Universidad Antonio Nariño, Bucaramanga.; Detección de Sars-Cov-2 y Virus de Hepatitis A en Aguas Residuales de la Ciudad de Bucaramanga Como Estrategia Predictiva de Brotes. Estudio Multicéntrico.; Detección de Sars-Cov-2 y Virus de la Hepatitis A en Aguas Residuales de las Ciudades de Bucaramanga, Cúcuta y Valledupar Como Estrategia Predictiva de Brotes. Estudio Multicéntrico; Determinación de la Seroprevalencia de Toxoplasma Gondii en Felinos de la Ciudad de Bucaramanga; Determinación y Verificacion de los Intervalos de Referencia de Analitos de Química Clínica en Laboratorios Del Nororiente Colombiano; Determinantes Genéticos Relacionados con Resistencia A Tetraciclina y Colistina y Factores de Virulencia en Cepas de Escherichia Coli Aisladas de Pollos Broiler de Granjas de Producción en Santander; Diferencias de Fuerza Prensil, Variabilidad de la Frecuencia Cardiaca y la Salud Mental en Personas con y sin Enfermedad Cardiovascular; Dinámica Espaciotemporal de la Transmisión Del Dengue en Poblaciones Endémicas Mexicanas Durante 2.014 – 2.016; DISEÑO DE MODELO NARRATIVO TRANSMEDIA, QUE PROMUEVA ENTORNOS SALUDABLES EN LA INFANCIA (6-11 AÑOS) DE LA FUNDACIÓN SEMILLAS DE ILUSIÓN EN CENTROABASTOS BUCARAMANGA. ; Diseño de un Modelo de Intervención para Reducir el Número de Cancelaciones de Cirugías en la E.S.E Hus; Diseño de una de Ruta de Formación para el Desarrollo de Competencias en Salud Pública y Aps en el Programa de Fonoaudiología de la Universidad de Santander; Diseño de una Ruta de Formación para el Desarrollo de Competencias en Salud Pública y Aps en el Programa de Fonoaudiología de la Universidad de Santander. Fase Ii; Diseño el Plan Estratégico para el Fomento de la Competitividad y Productividad Del Sector Hortofrutícola de Norte de Santander Basado en la Certificación "Fair Trade"; Diseño y Fabricación de Modelo Biomecánico de Miembro Superior Del Cuerpo Humano A Pa+I218rtir de Fabricación Digital para el Campo Educativo; Diseño y Filtrado Computacional de Moléculas Híbridas con Potencial Actividad Inhibitoria Del Sistema de Comunicación Celular de Pseudomonas Aeruginosa; Efecto Antiproliferativo de Terpenoides Naturales Derivados de Lippia Alba Sobre Tres Linajes Leucémicos; Efecto Inhibitorio de Quorum Sensing (Qs) por Lactonasas y Acilasas en Cepas de Escherichia Coli Patógenas y No Patógenas. Alternativa para el Control Del Biofilm en Bacterias Fármaco Resistentes; Efecto Microbiano de un Nanoconjugado y la Terapia Fotodinámica Sobre Periodontopatógenos Prevalentes en la Enfermedad Periodontal en el Paciente Diabético Tipo Ii: Estudio In Vitro; Efectos de un Programa de Promoción de Hábitos Saludables Dirigido A Padres de Familia y Profesores de Escolares de Primaria en una Institución de Cúcuta”; Efectos de una Intervección Educativa Sobre los Conocimientos en la Atención Primaria en Salud y en el Modelo Intefral de Atención en Salud (Mias) en Estudiantes y Profesionales en Fiosterapia de Bucaramanga; Efectos Del Agua Desmineralizada en el Reprocesamiento de Instrumental Quirúrgico en la Central de Esterillización de una Institución de Salud de Floridablanca- Santander en el Año 2017-2018; Eficacia de una Intervención Multicomponente Sobre la Función Cognitiva para la Diada Cuidador-Paciente en el Marco de la Cohorte Pure Colombia y la Red de Apoyo Social para Cuidadores ; El Diseño Universal en las Edificaciones de las Instituciones de Prestación de Servicios de Salud de Alta Complejidad Ubicadas en Bucaramanga y Área Metropolitana: Realidad o Utopía; Estrategia de Innovación Social para el Acompañamiento A la Lactancia Materna en Contextos de Vulnerabilidad Como Aporte A la Seguridad Alimentaria.; Estrategia de Telesalud para la Promoción de Estilos de Vida Saludable Dirigida A los Profesores de Bucaramanga y Su Área Metropolitana en el Marco Del Covid-19: una Prueba Piloto. ; Estructuración y normalización de datos geocientíficos del subsuelo de la Cuenca de los Llanos Orientales para prospección energética con IA y análisis de riesgos para la salud en comunidades. ; Estudio de Metilación de Adn en Víctimas de Experiencias Adversas Tempranas Mediante Inteligencia Artificial: Análisis In Sillico; Estudio Del Potencial Inhibitorio de una Molécula Aislada A Partir de la Planta Calea Prunifolia Sobre la Viabilidad In Vitro de Microorganismos de Interés en Salud Humana; Estudio Epidemiológico Retrospectivo de Pseudomonas y Otras Cepas Bacterianas Resistentes Aisladas en Instituciones de Salud en el Nororiente Colombiano; Evaluación de la Actividad Antibacteriana de Extractos Bioactivos Producidos por Streptomyces Sp., Aisladas de Panales de Abejas (Apis Mellifera) Frente A Bacterias Resistentes A Antibióticos.; Evaluación de la Actividad Antimicrobiana de Compuestos Bioactivos Producidos por Streptomyces Sp. Frente A Klebsiella Pneumoniae y Pseudomonas Aeruginosa Resistentes A Carbapenémicos"; Evaluación de la Adherencia A la Lista de Verificación de Cirugía Segura de la Oms en una Institución de Salud de Tercer Nivel en la Ciudad de Bucaramanga, 2018; Evaluación de la Asociación Entre la Extensión de la Minería Ilegal y la Incidencia de Malaria en los Municipios de Colombia Entre 2009 y 2024; Evaluación de la Implementación de una Estrategia Pedagógica Enfocada en la Calidad de la Educación Mediante el Uso de la Plataforma Moodle en Docentes y Estudiantes de Iv y V Semestre de Instrumentación Quirúrgica de la Universidad de Santander Unidad de Extensión Bogotá en el 2021; Evaluación de la Osteointegración en Pacientes Sometidos A Artrodesis de Columna Vertebral con Implantación de Aloinjerto de Donante Vivo, en la Ciudad de Bucaramanga, Santander; Evaluación de los Efectos de la Cuarentena por la Covid-19 en la Salud Mental y Física de Estudiantes de Instrumentación Quirúrgica de la Universidad de Santander - Udes; Evaluación de los Efectos de las Comunidades Bacterianas y Planctónicas en la Calidad Del Agua en Cultivos de Tilapia Roja (Oreochromis Sp) en Tecnología Biofloc; Evaluación de Nuevas Alternativas Terapéuticas A Partir de la Interrupción de los Sistemas de Comunicación (Quórum Sensing) de Patógenos Multidrogoresistentes Prevalentes en el Nororiente Colombiano y Divulgación de los Hallazgos A Personal de Salud, Mediante una Estrategia Educativa Digital.; Evaluación de una Intervención Educativa en Rehabilitación Cardiaca A Través de Whatsapp Usando un Ensayo Clínico Controlado Aleatorizado; Evaluación Del Efecto Antiparasitario de la Terapia Fotodinámica Mediante el Uso de un Nanoconjugado para el Tratamiento de Infecciones Causadas por Leishmania (Viannia) Braziliensis: Estudios In Vivo; Evaluación Del Efecto Sinérgico de una Solución Comercial de Ácido Hipocloroso y Nanopartículas de Plata Sintetizadas con Extractos de Moringa Oleífera Contra Hongos Dermatofitos.; Evaluación Del Impacto Del Programa de Profesor Visitante de la Red de Rehabilitadores de las Américas con Apoyo de la Universidad de Santander, para Fortalecer las Capacidades en Rehabilitación en la Costa Norte de Honduras, Realizado Entre 2017/2019; Evaluación In Vitro e In Vivo de la Actividad Antifúngica de Complejos Metálicos con Ligandos Triazólicos Como Alternativa Terapéutica en Cándidaresistente Al Fluconazol; Evaluación Integral Del Profesor: Modelo para el Perfeccionamiento Del Proceso de Enseñanza Aprendizaje en la Udes; Factores Que Generan Estrés Durante las Prácticas, en los Estudiantes de Instrumentación Quirúrgica de la Universidad de Santander (Udes); Fortalecimiento de Capacidades en Rehabilitación en Honduras A Través de Talleres Comunitarios; Frecuencia de Fenotipos, Genes y Elementos Genéticos de Resistencia A Antimicrobianos en Reservorios Bacterianos, Como los Patotipos de Escherichia Coli y E. Coli Comensales, Aislados de Niños con y sin Enfermedad Diarreica Aguda (Eda) de Bucaramanga y el Área Metropolitana.; Identificación de las Necesidades y Especificación de Requisitos para el Diseño de una Herramienta Tecnológica para el Fortalecimiento de la Musculatura Core en Adultos con Dolor Lumbar Inespecífico. Fase I y Ii.; Identificación de los Efectos de las Bebidas Energéticasen Población Joven Bajo Revisión Sistemática.; Identificación de los Efectosde las Bebidasenergéticas en Población Joven Bajo Revisión Sistemática.Fase Ii. Caracterización Del Consumo de Bebidas Energéticasen Jóvenes de Universidades de Panamá y Colombia; Identificación y Estudio de la Actividad Antimicrobiana de un Péptido Antimicrobiano de Atta Laevigata (Hormiga Santandereana); Impacto de la implementación del “Código Sepsis” en la mortalidad y la estancia hospitalaria: estudio antes–después utilizando NEWS2; Impacto de la Profesión de Instrumentación Quirúrgica en Colombia; Intervención Educativa en Telerehabilitación Dirigida A los Fisioterapeutas de Bucaramanga y Su Área Metropolitana: una Prueba Piloto.; Manual de Procesos Medico Quirúrgicos de Oftalmología; Medición de Producto No Conforme y de Servicio en el Proceso de Esterilización de la E.S.E Hospital Universitario de Santander"; Modelo Interprofesional de la Universidad de Santander para la Reducción de la Vulnerabilidad Social de Familias de la Comuna 1 de Bucaramanga; Optimización Del Potencial Antimicrobiano y Osteogénico In Vitro de Nanofribras Adicionadas con Aceites Esenciales para Su Uso en Regeneración Ósea Guiada ; Percepción de la Cultura de Seguridad Del Paciente en el Servicio de Cirujía de Instituciones de Salud de Colombia y Panamá; Prevalencia de Coinfección de Virus de Influenza A, B y Virus Sincitial Respiratorio con Sars-Cov-2 en Pacientes Adultos Hospitalizados en la Región Santandereana, Colombia.; Prevalencia de Infección Genital por Chlamydia Trachomatis y Neisseria Gonorrhoeae en Estudiantes de Reciente Ingreso de la Universidad de Santander - Campus Bucaramanga en el Semestre A Del 2020.; Prevalencia y Factores de Riesgo de las Zoonosis Parasitarias en Criaderos de Cerdos Traspatio Del Área Metropolitana de Bucaramanga.; Programa “bio-Reto Xxi 15:50. Desarrollo de Bioproductos para los Sectores Salud, Agropecuario y Cosmético, Como Resultado Del Estudio de la Biodiversidad Colombiana” Proyecto Udes: Caracterización Celular y Molecular de la Actividad Antileucémica y Del Efecto Sinergístico de Aceites Esenciales Optimizados de Lippia Alba y Sus Terpenos Mayoritarios en un Modelo Murino de Leucemia Mieloide Aguda.; Restauración Social Posterior Al Conflicto Armado con Víctimas y Desplazados en el Caribe Colombiano.; Resumen Analítico de Investigaciones y Tesis de Grado 2019-2020de la Universidad Santander de Panamá; Ruta de Acción para Fortalecer Competencias en Salud Pública y Aps en el Programa de Fisioterapia de la Universidad de Santander.  Fase Ii.; Ruta de Formación de Competencias en Salud Pública y Atención Primaria en Salud, en el Programa de Bacteriología y Laboratorio Clínico de la Universidad de Santander; Ruta de Formación de Competencias en Salud Pública y Atención Primaria en Salud, en el Programa de Bacteriología y Laboratorio Clínico de la Universidad de Santander- Fase 2; Ruta de Formación de Competencias en Salud Pública y Atención Primaria en Salud, en el Programa de Instrumentación Quirúrgica de la Universidad de Santander – Fase 2.; Sistema Basado en Inteligencia Artificial para Determinar la Pérdida de Función de las Lipoproteínas Asociadas A la Aparición de Enfermedad Cardiovascular Crónica ; Sistema de Control para la Estimulación Eléctrica Funcional en una Neuroprótesis de Pie Caído con Base en un Algoritmo de Inteligencia Artificial Embebido; Sistema de Seguimiento Post Operatorio para Prevenir Iso Aplicando Técnicas de Telemedicina e Iot; Terapia Antichagásica In Vivo Basada en Mezclas Sinergísticas de Terpenos de Aceites Esenciales de Lippia Alba.; Termómetro Social Covid-19, Colombia. Respuesta Poblacional Frente A la Pandemia y A las Medidas de Salud Pública Implementadas. ; Transitar Hacia la Convivencia Pacífica: Aprendizajes y Aplicaciones Desde y para la Salud Mental Comunitaria en Girón y Cúcuta ; Validación de Contenido de la Herramienta Tecnológica para el Acompañamiento Preventivo de la Voz en los Profesores de la Universidad de Santander.  Fase I.; Validez y Confiabilidad de la Versión Español Del Pregnancy Physical Activity Questionnarie (Ppaq) en Población Colombiana; Validez y Confiabilidad Del Cuestionario Multidimensional Attitudes Scale Toward Persons With Disabilities – Más en Universitarios de Colombia</t>
  </si>
  <si>
    <t xml:space="preserve"> Actividad Fisica    ; Biodiversidad y Biotecnología    ; Biotecnología    ; Discapacidad y Comunidad    ; Enfermedades Infecciosas    ; Enfermedades No Transmisibles    ; Evaluación de Intervenciones    ; Evaluación de Pruebas Diagnósticas    ; Proyectos y Procesos Académico-Administrativos    ; Salud Pública    </t>
  </si>
  <si>
    <t xml:space="preserve"> Desarrollos Biotecnológicos; Dolmen; Entra - Enfermedades No Transmisibles; Iepah; Inmunidad e Infección ; Inteligencia Artificial; Nousophia; Praxis ; Punto de Encuentro; Salud Pública y Ambiental; Semillero de Investigación Del Programa de Instrumentación Quirúrgica; Semillero en Investigación Avanzada de Enfermedades Infecciosas ; Sigma; Transfunden; Virocem</t>
  </si>
  <si>
    <t>CLINIUDES - GRUPO DE INVESTIGACION EN MANEJO CLINICO</t>
  </si>
  <si>
    <t xml:space="preserve">
Adriana Ximena Sandoval Meza ( Coinvestigador udes - Activo)  || 
Alvaro Jose Hernandez Tasco ( Investigador - Activo)  || 
Amalia Fernanda Leon Gallo ( Investigador - Activo)  || 
Beatriz Elena Guerra Sierra ( Lider de grupo de investigación - Activo)  || 
Carlos Enrique Osorio Alvarado ( Asesor externo nacional - Activo)  || 
Erika Marcela Moreno Moreno ( Investigador - Activo)  || 
Fredy Alejandro Ortiz Meneses ( Investigador - Activo)  || 
Giampaolo  Orlandoni Merli ( Asesor externo internacional - Activo)  || 
Gina Patricia Parra Aparicio ( Colider de grupo de investigación - Activo)  || 
Jaider  Muñoz Guerrero ( Investigador - Activo)  || 
Juan Carlos Pinilla León ( Asesor externo nacional - Activo)  || 
Laura Milena Sánchez Ballesteros ( Investigador - Activo)  || 
Leidy Viviana Novoa Lizarazo ( Investigador - Activo)  || 
Liliana Torcoroma García Sánchez ( Investigador - Activo)  || 
Martha Viviana Roa Cordero ( Asesor externo internacional - Activo)  || 
Raquel  Rivera Carvajal ( Investigador - Activo)  || 
Sandra Lorena Contreras Contreras ( Investigador - Activo)  || 
Sandra Milena Leal Pinto ( Investigador - Activo) </t>
  </si>
  <si>
    <t>BEATRIZ ELENA GUERRA SIERRA</t>
  </si>
  <si>
    <t xml:space="preserve"> Abordaje Comunitario para la Identificación y Mitigación de los Riesgos Asociados A Bacterias Resistentes A Antibióticos Presentes en la Quebrada la Tonchalera.; Abundancia de Diaphorina Citri,Vector de la Enfermedad Hlb, en Santander y Su Susceptibilidad A Agentes de Control Químico.; Ambiente y Alimentos Contaminados con Mohos y Su Relacion con el Decline Cognitivo en el Adulto Mayor; Aprovechamiento de los Residuos de Cacao y Caña para la Producción de Pleurotus Ostreatus y Bioabono; Aspectos Histopatológicos en los Frutos Del Limón Tahití Citrus Citrus X Latifolia Afectados por Ácaros en el Departamento de Santander-Colombia; Biosíntesis de Nanopartículas de Cobre y Plata Usando Extractos de Moringa Oleífera: Propiedades Fisicoquímicas y Actividad Biológica; Cabina automatizada para el incremento de la producción de hongos de importancia industrial.; Caracterización Celular y Molecular de la Actividad Anti Leucémica y Del Efecto Sinergístico de Aceites Esenciales Optimizados de Lippia Alba y Sus Terpenos Mayoritarios en un Modelo Murino de Leucemia Mieloide Aguda; Caracterización Fenotipica y Genotipica de Aislamientos de Escherichia Coli de Pollos de Engorde en Santander, Colombia.; Comparación Del Efecto de la Alimentación Convencional en Pollos de Engorde Frente A la Alimentación Convencional Suplementada con Mezclas de Bacterias con Potencial Probiótico en Variables Zootécnicas, Inmunes y Patológicas Intestinales.; Dataset de consumo de tabaco en estudiantes para su potencial uso en modelos de inteligencia artificial en el sector salud ; Dataset para un modelo predictivo y mapeo del riesgo de micoplasmosis canina en Colombia con inteligencia artificial; Desarrollo de Lippia Alba (Mill.) N.E.Br. y Sus Endófitos Fúngicos Asociados Bajo Tratamientos de Fertilización en Invernadero; Desarrollo, Transferencia de Tecnología y Conocimiento para la Innovación Que Atienda los Retos Del Sector Agro Derivados de la Emergencia Económica, Social y Ecológica Causada por el Covid-19 en el Departamento de Santander – Programa Reactívate Santander; Diagnóstico y Hoja de Ruta para la Transformación de los Sistemas Alimentarios A Partir Del Enfoque Folu: Area Demostrativa de Santander; Elaboración de un Gel con Ácido Hipocloroso, Obtenido por el Proceso de Electrolisis para la Elaboración de Dicho Gel.; Estrategias Biotecnológicas para el Manejo de Ácaros en Cítricos (Girón - Santander); Evaluación de la Efectividad de Tratamientos Hidrotérmicos y Microorganismos Antagonistas Frente A Fitopatógenos Que Afectan la Calidad Postcosecha de los Frutos de Mangifera Indica L. Cv. Keitt.; Evaluación de Sistemas Productivos Agrícolas para la Seguridad Alimentaria de Familias de Economía Campesina en Condiciones de Clima Cálido; Evaluación de Sistemas Productivos Pecuarios para la Seguridad Alimentaria de Familias de Economía Campesina en Condiciones de Clima Cálido; Evaluación Del Efecto Inmunomodulador de Terpenos de Aceites Esenciales de Lippia Alba Sobre Células Infectadas por Trypanosoma Cruzi; Evaluación Del Efecto Sinérgico de una Solución Comercial de Ácido Hipocloroso y Nanopartículas de Plata Sintetizadas con Extractos de Moringa Oleífera Contra Hongos Dermatofitos.; Evaluación Del Potencial Herbicida y Tóxico de Aceites Esenciales de Pimpinella Anisum, Illicium Verum y Syzygium Aromaticum Frente A Arvenses: Bioprospección para la Formulación de Sistemas Nanotransportadores. ; Hongos Filamentosos Tolerantes Al Cadmio en un Suelo Cultivado con Theobroma Cacao; I. Fase_ Prospección y Evaluacion de Microorganismos Promotores de Crecimiento Vegetal Endófitos y Rizosféricos en Palma de Aceite Como Potenciales Biofertilizantes ; IMPACTO DE LA MICROBIOTA NATIVA Y EL BIOPRIMING EN EL CRECIMIENTO DE Cavanillesia chicamochae FERN. ALONSO PARA LA CONSERVACIÓN Y RESTAURACION DEL BOSQUE SECO TROPICAL; Investigación, Vinculación y Ampliación de la Oferta Tecnológica Disponible para el Mejoramiento Productivo Del Cultivo de Papa en los Departamentos de Santander, Norte de Santander; Modelo de Recuperación de la Carne de Codorniz de Aves de Desecho para la Producción de un Cárnico Procesado Apto para Consumo Humano.; Mohos Ambientales Intradomiciliarios y el Deterioro Cognitivo Leve en Adultos Mayores. Bucaramanga; Organismos Colonizadores Causantes Del Biodeterioro en los Puentes Vehiculares Construidos en Concreto Reforzado Presentes en la Ciudad de Bucaramanga y Sus Efectos Sobre la Resistencia de los Concretos; Prevalencia de Fasciola Hepatica en Equinos de Colombia; Prevalencia de Microorganismos Patógenos en Aguas de Consumo de Centros Educativos en Tres Municipios de Norte de Santander; Productos Innovadores A Través de la Transformación de Productos Agropecuarios, Como Parte de un Modelo Agroalimentario para Predios Rurales de Economía Campesina Del Magdalena Medio.; Prototipaje de Biofiltro Utilizando Subproductos de la Agroindustria e Inmovilizados Microbianos Aislados de Minería Aurífera para la Remoción de Metales Pesados y Cianuro en Efluentes ; Restauración de Cuerpos de Agua con Afectaciones de Vertimientos de Aguas Residuales con Riesgo Epidemiológico en Bucaramanga, Valledupar  y Cúcuta 2024-2025; Restauración de Cuerpos de Agua con Afectaciones de Vertimientos de Aguas Residuales con Riesgo Epidemiológico en la Quebrada las Ranas, Afluente de la Represa Del Acueducto Metropolitano de Bucaramanga; Seguimiento de Biomarcadores en el Envejecimiento y la Vitalidad en Diferentes Etapas de la Vida "Senvida"; Solidificación de Lodos Provenientes Del Agua Residual de la Industria de Lavado de Automotores para Uso en la Industria de la Construcción</t>
  </si>
  <si>
    <t xml:space="preserve"> Biodiversidad y Biometria    ; Biopesticidas y Control Biológico    ; Microbiología de Alimentos y Seguridad Alimentaria     ; Microbiología de Suelos y Ambiental Aplicada    ; Productos Bioactivos, Sintéticos y Naturales    ; Tecnologías y Biotecnologías Aplicadas en el Agroambiente, Salud e Industria    </t>
  </si>
  <si>
    <t xml:space="preserve"> Microfood; Seinnovar</t>
  </si>
  <si>
    <t>MICROBIOTA - GRUPO DE INVESTIGACION EN BIOTECNOLOGIA AGROAMBIENTE Y SALUD</t>
  </si>
  <si>
    <t>Humanidades</t>
  </si>
  <si>
    <t>Otras humanidades</t>
  </si>
  <si>
    <t>Facultad de Ciencias Sociales, Políticas y Humanidades</t>
  </si>
  <si>
    <t xml:space="preserve"> Unidad: Facultad de Ciencias Sociales, Políticas y Humanidades; Unidad: Departamento de Sociohumanidades (023 - Valledupar); Unidad: Departamento de Humanidades; Unidad: Comunicación Social y Periodismo (060 - Bucaramanga); Unidad: Antropología (001 - Bucaramanga)</t>
  </si>
  <si>
    <t xml:space="preserve">
Adriana Constanza Vera Diaz ( Investigador - Activo)  || 
Alberto Enrique Borja Rojas ( Investigador - Activo)  || 
Alexander  Mantilla Guerrero ( Investigador - Activo)  || 
Anastasia  Espinel Suares ( Investigador - Activo)  || 
Andres Leonardo Guerra Mendoza ( Investigador - Activo)  || 
Angela Marcela Ríos Delgado ( Investigador - Activo)  || 
Emerson Andres Buitrago  ( Investigador - Activo)  || 
Fredy Yesid Higuera Diaz ( Investigador - Activo)  || 
Indira Andrea Quiroga Dallos ( Investigador - Activo)  || 
Isaias Jose Molina Jacome ( Investigador - Activo)  || 
Javier Andres Sandoval Andrade ( Investigador - Activo)  || 
Joaquin Humberto Fontecha Fontecha ( Investigador - Activo)  || 
Jorge Alberto Salazar Rodriguez ( Investigador - Activo)  || 
Lina Maria Rey Carvajal ( Investigador - Activo)  || 
Luz Mary Castellon Valdez ( Lider de grupo de investigación - Activo)  || 
Maria Pierina Lucco Garcia ( Investigador - Activo)  || 
Nathaly Julieth Acuñ?A Gomez ( Auxiliar joven investigador - Activo)  || 
Nelson Oswaldo Estrada Vasquez ( Investigador - Activo)  || 
Sergio Andrés Acosta Lozano ( Investigador - Activo)  || 
Sergio Andrés Castro Méndez ( Investigador - Activo)  || 
Sol Alejandra Calderón Patiño ( Investigador - Activo)  || 
Zully Andrea Velazco Carrillo ( Investigador - Activo) </t>
  </si>
  <si>
    <t>LUZ MARY CASTELLON VALDEZ</t>
  </si>
  <si>
    <t xml:space="preserve"> “creactiva: un Acercamiento Al Imaginario de los Jóvenes en el Sector Rural Santandereano” Espacio para la Revalorización de lo Patrimonial A Partir Del Diseño; Abordaje Comunitario para la Identificación y Mitigación de los Riesgos Asociados A Bacterias Resistentes A Antibióticos Presentes en la Quebrada la Tonchalera.; Adaptación de Áreas de Explotación Minera A Parque Temático Geológico-Minero-Ambiental en Vetas y California; Alternativas Pacíficas de Resolución de Conflictos Cotidianos en el Municipio de Girón (Santander), Desde las Experiencias de la Organización la Comadre; Análisis de la Situación Socioeconómica de Bucaramanga y Su Área Metropolitana por el Flujo Migratorio de las Personas Provenientes de Venezuela Durante el Año 2020, Fase 1.; Aprendizajes y Aplicaciones en Torno A la Resolución Pacífica de Conflictos Cotidianos en el Municipio de Cúcuta; Apropiación de las Formas Del Ser, Estar, Tener y Hacer de las Comunidades Aid Del Embalse Topocoro. ; Apropiación Social Del Patrimonio Cultural Del Museo Arqueológico de la Universidad de Santander; Arqueología, biodiversidad y STEM: un puente de arte y ciencia para resignificar el patrimonio de Hibácharo (Piojó - Atlántico); Arte, Memoria y Territorio en las Prácticas Del Turismo Comunitario Urbano, Caso Barrio Morrorico de la Ciudad de Bucaramanga; Cocinas para el Alma, Resistencias para la Paz, Fase I; Cocinas para el Alma, Resistencias para la Paz. Fase 1; Construcción e Implementación de una Herramienta Digital para la Motivación y el Fortalecimiento de las Competencias Lectoescritoras en los Estudiantes de Humanidades de la Universidad de Santander Ud; Diálogos Del Territorio Entre Boyacá y Santander Desde la Co-Creación: Estéticas, Saberes y Patrimonio; Diseño de Estrategias Pedagógicas para la Formación en Competencias Ciudadanas en el Contexto Universitario Desde el Aprendizaje Basado en Problemas; Diseño de un Modelo de Vinculación Laboral para Personas en Proceso de Reintegración Económica Del Departamento Norte de Santander”.; Diseño de un Sistema de Medición de Impacto Social de la Catedra de Educación Financiera Desarrollada en el Departamento de Santander Durante el Año 2018; Diseño Participativo de Experiencias Transmedia para la Restitución de la Memoria Colectiva en Torno A la Industria Cervecera Del Departamento de Santander ; Efectividad de la Planeación Estratégica en la Sostenibilidad de las Mipymes Del Sector Manufacturero de Bucaramanga y Bogotá.; El Blend Marketing y la Comunicación Eficaz para Generar Conductas de Ciudadanía Inteligente en los Habitantes de Bucaramanga; Escuela Matachín: Recuperando la Memoria Colectiva de la Parranda de Capitanejo.; Estrategias de Comunicación No Verbal para la Generación de Preferencias Culturales Desde la Gráfica Popular Del Territorio. Caso de Estudio: “barrio Ferroviario® – Café Madrid.; Estudio de Caminos Patrimoniales en Barichara y Su Contexto; Estudio Del Impacto Del Programa Pintaramanga en la Calidad de Vida de los Habitantes de las Comunas 1 y 2 de la Ciudad de Bucaramanga; Experiencia Inmersiva de Realidad Virtual Como Herramienta para la Visibilización de los Saberes y las Prácticas Productivas de las Comunidades Rurales de los Santos, Santander; Fanzine Ilustrado Como Plataforma de Expresión Crítica en Torno A la Relación Joven – Ciudad Desde Diversas Dimensiones Artísticas; Identidad Cultural Como Estrategia de Diferenciación de la Cadena de Valor Del Cacao para el Posicionamiento Del Municipio de Rionegro Santander Como Territorio Cacaotero. ; Identificación de Estructuras y Objetos de Interés Arqueológico y Patrimonio Biocultural en un Ambiente Controlado y Simulación Computacional Usando Técnicas Geofísicas de Alta Resolución 2D-3D; Identificación de los Beneficios Que Traería la Implementación de una Ruta Gastronómica Enfocada Al Turismo y Al Desarrollo Rural en Santander; Impacto de las Actividades Antropogénicas en la Circulación de Genes y de Bacterias Multirresistentes en la Quebrada la Tonchalá y Diseño de una Herramienta Web Como Estrategia Educativa.; Implementación Del Sistema de Evaluación de Impacto Social de la Cátedra de Educación Financiera en la Institución Educativa la Libertad de Bucaramanga Durante los Años 2019 y 2020; Influencia Del Registro de Signos Distintivos y las Nuevas Creaciones en la Construcción de Valor de Marca para Empresas Del Sector Agroalimentos en Bucaramanga y Su Área Metropolitana.; La Construcción Histórica de la Idea de Nación en el Discurso de Tres Presidentes de Colombia y México, y Su Reflejo en el Discurso Actual; La Experiencia de Jóvenes Universitarios en Bucaramanga Al Intentar Controlar y Bajar de Peso, Narrada Mediante Foto-Voz.; La Iglesia Católica y la Promoción de Acciones de Resistencia, Diálogo y Construcción de Paz Ante el Conflicto Armado Colombiano: la Diócesis de Barrancabermeja  (1985-2005; LOS ÁRBOLES CANTAN: La composición de música vallenata como estrategia mediática para fortalecer los vínculos socioambientales de los habitantes de Valledupar con los árboles patrimoniales.; Memoria Culinaria en las Plazas de Mercado de la Ciudad de Bucaramanga.  Restitución Simbólica Territorial de la Plaza; Memorias de Ausencia Desde las Sentencias: Análisis de Narrativas y Productos Culturales de Desaparición Forzada en Sitios Funerarios Rurales y Urbanos de Antioquia.; Modelo Operativo y Metodológico para la Implementación Del Laboratorio de Investigación-Creación de la Universidad de Santander – Udes; Participación de las Mujeres Rurales en Agronegocios en el Departamento de Santander; Pazeos Vallenatosla Cancion Vallenata: una Herramienta para la Construccion Colectiva de Estrategias de Desarrollo Territorial y Construccion de Paz ; 'Raíces Del Páramo': Relatos de Prácticas Productivas Desarrolladas por Agricultores Familiares Del Municipio de Tona.; Reconocimiento de las Potencialidades y Capacidades Del Área de Influencia Directa Del Embalse de Topocoro Entorno A las Industrias Creativas y Culturales Como Estrategia de Desarrollo Territorial.; Re-Leyendo Artefactos: Puesta en Valor de Piezas Arqueológicas A Través de una Museográfica Participativa en la Universidad de Santander.; Resignificación de los Imaginarios Culturales Rurales para la Construcción de Acciones Pedagógicas Encaminadas A la Regeneración de la Biodiversidad y la Cuenca Hídrica Del Rio Pamplonita en el Municipio de Bochalema Norte de Santander; Sembrando y Protegiendo el Agua Del Páramo: Formas Tradicionales Del Cuidado y Conservación Del Agua en el Municipio de Vetas, Santander; Tejeduría; Testimonios, silencios y memorias ocultas: relato audiovisual de la masacre del 16 de mayo de 1998 en Barrancabermeja. ; Transitar Hacia la Convivencia Pacífica: Aprendizajes y Aplicaciones Desde y para la Salud Mental Comunitaria en Girón y Cúcuta ; Voces que inspiran: diseño participativo de material educativo accesible para el empoderamiento de derechos de personas con discapacidad en el Área Metropolitana de Bucaramanga. </t>
  </si>
  <si>
    <t xml:space="preserve"> Humanidades, Artes y Educación    ; Patrimonio, Espacio y Memoria    </t>
  </si>
  <si>
    <t xml:space="preserve"> Aguaco - Semillero de Investigación en Relaciones Socioecosistémicas; Amara; Ompa -  Observatorio de Medios, Paz y Periodismo Audiovisual; Pazate - Memorias Del Conflicto; Semillero de Investigaciones Antropológicas; Semillero de Investigaciones Arqueológicas (Sia) ; Tribu de Comunicación</t>
  </si>
  <si>
    <t>GUANE - GRUPO DE INVESTIGACION EN HUMANIDADES</t>
  </si>
  <si>
    <t>Otras Biologías</t>
  </si>
  <si>
    <t>Administracion Financiera (006 - Cúcuta)</t>
  </si>
  <si>
    <t xml:space="preserve"> Unidad: Bacteriologia y Laboratorio Clinico (017 - Cúcuta)</t>
  </si>
  <si>
    <t xml:space="preserve">
Claudia Ivonne Arambula Garcia ( Investigador - Activo)  || 
Hilda Angelica Padilla Sierra ( Investigador - Activo)  || 
Karen Piedad Martinez Marciales ( Lider de grupo de investigación - Activo)  || 
Nick Guillermo Abril Mendoza ( Investigador - Activo)  || 
Rolando  Diaz Diaz ( Investigador - Activo)  || 
Vicky Constanza Roa Linares ( Coinvestigador udes - Activo)  || 
Yesmit Karina Rios Ramirez ( Investigador - Activo) </t>
  </si>
  <si>
    <t>KAREN PIEDAD MARTINEZ MARCIALES</t>
  </si>
  <si>
    <t>CATEGORÍA C</t>
  </si>
  <si>
    <t xml:space="preserve"> Actitud Hacia la Psiquiatría de los Estudiantes de Medicina de la Universidad de Santander (Udes); ANÁLISIS DE LAS REPRESENTACIONES NARRATIVAS Y RUTAS CULTURALES DE LA NORTESANTANDERIANIDAD EN LA LITERATURA DEL DEPARTAMENTO DEL NORTE DE SANTANDER 2010-2025 ; Asociación de Factores de Riesgo y Prevalencia de Parasitosis Intestinales en Manipuladores de Alimento Del (Pae) Cúcuta, 2019; Asociación de Factores Fisicoquimicos In Situ con la Presencia de Bacterias y Parasitos en Aguas de Piscinas de Hoteles en San José de Cúcuta; Desarrollo de un Producto A Base de Ciénego y Microorganismos Nativos Como Pontencial Biofertilizante de Suelos de Cultivo de Palma; Desarrollo de una Harina A Base de Torta Residual de Sacha Inchi con Adición de Microorganismos Probióticos Como Alternativa de Alimentación Humana; Desarrollo de una Mezcla en Polvo Funcional A Base de Harinas Nativas, Moringa Oleífera, Plukenetia Volubilis, Chenopodium Quinoa, con Adición de Microorganismos Probióticos; Determinación de la Calidad Del Agua,; Determinación de la Calidad Del Agua, Genes de Resistencia Antimicrobiana y Contaminantes Emergentes en Puntos Priorizados de la Quebrada la Tonchalá, Norte de Santander; Determinación de la Multirresistencia en Escherichia Coli y Pseudomonas Aeruginosa Aisladas de Aguas Provenientes de la Quebrada la Tonchalera, Norte de Santander. un Enfoque de One Health.; Efectividad de una Dieta Suplementaria A Base de Chachafruto (Erythrina Edulis) y Candida Utilis en la Etapa de Alevinaje de Pterophyllum Scalare Como Alternativa de Alimentación Proteica; Efecto de la Suplementación con Diferentes Niveles de Arthrospira Maxima Sobre el Perfil de Ácidos Grasos y las Propiedades Bromatológicas Del Filete de Tilapia Roja (Oreochromis Sp.); Evaluación de la Actividad Antibacteriana "In Vitro" de los Aceites Esenciales de Mentha Spicata, Origanum Vulgare, Ruta Chalepensis, Moringa Oleifera en Tres Municipios de Norte de Santander; Evaluación de la Actividad Antibacteriana de Extractos Bioactivos Producidos por Streptomyces Sp., Aisladas de Panales de Abejas (Apis Mellifera) Frente A Bacterias Resistentes A Antibióticos.; Evaluación de la Expresión de la Proteína Bcl-2 en  Embriones Bovinos, Cultivados con y sin el Activador Ppar? (L-165041), Producidos en la Universidad de Santander, Campus Valledupar, Año 2023 - 2025.; Evaluación de las Características Funcionales A Partir de Seis Prototipos de Mezclas  de Harinas de Semillas Promisorias con Adición de Probióticos.; Evaluación de una Dieta Suplementada con Arthrospira Máxima en las Etapas de Alevinaje y Precría de Oreochromis Sp (Tilapia Roja); Evaluación Del Efecto de una Cartilla Virtual en el Aprendizaje de Buenas Prácticas de Manufactura, Mediante Su Aplicación en Estudiantes Del Programa de Bacteriología y Laboratorio Clínico de la Universidad de Santander, 2021-2022; Identificación de Bacterias Endosimbióticas Causantes de Infecciones Gastrointestinales Presentes en Amebas de Vida Libre de Muestras de Fuentes Hídricas de los Municipios de Cúcuta y la Zulia, Norte de Santander.; Prevalencia de Microorganismos Patógenos en Aguas de Consumo de Centros Educativos en Tres Municipios de Norte de Santander; Restauración de Cuerpos de Agua con Afectaciones de Vertimientos de Aguas Residuales con Riesgo Epidemiológico  en , Cúcuta  2024-2025; Restauración de Cuerpos de Agua con Afectaciones de Vertimientos de Aguas Residuales con Riesgo Epidemiológico en Bucaramanga, Valledupar  y Cúcuta 2024-2025; Vigilancia Ambiental de la Resistencia A Antibióticos en la Quebrada la Tonchalá, Norte de Santander: Impacto de las Actividades Antropogénicas e Implementación de una Herramienta Web Como Estrategia Educativa</t>
  </si>
  <si>
    <t xml:space="preserve"> Biotecnologia Industrial y Alimentaria    ; Calidad e Inocuidad    ; Calidad e Inocuidad Alimentaria    ; Salud Pública y Ambiental     </t>
  </si>
  <si>
    <t xml:space="preserve"> Cudlavi ; Orugas ; Radijac</t>
  </si>
  <si>
    <t xml:space="preserve"> Unidad: Facultad de Ciencias Sociales, Políticas y Humanidades</t>
  </si>
  <si>
    <t xml:space="preserve">
Anibal  Carvajal Vasquez ( Asesor interno udes - Activo)  || 
Aura Yolima Rodriguez Burbano ( Lider de grupo de investigación - Activo)  || 
Aurymayerly  Acevedo Suarez ( Investigador - Activo)  || 
Cesar Javier Valencia Caballero ( Tutor de semillero de investigación - Activo)  || 
Eduard Humberto Rodriguez Melendez ( Investigador - Activo)  || 
Hernan Alberto Mejia Sanchez ( Tutor de semillero de investigación - Activo)  || 
Karime Griselda Lizcano Gomez ( Investigador - Activo)  || 
Maria Angelica Sanchez Julio ( Investigador - Activo)  || 
Martha Lucia Jimenez Muñoz ( Investigador - Activo)  || 
Olga Lucia Perdomo Terrios ( Tutor de semillero de investigación - Activo)  || 
Ruth Adriana Ruiz Alarcón ( Investigador - Activo) </t>
  </si>
  <si>
    <t>AURA YOLIMA RODRIGUEZ BURBANO</t>
  </si>
  <si>
    <t xml:space="preserve"> Doctorado; Universitaria</t>
  </si>
  <si>
    <t xml:space="preserve"> Actitudes y Conocimientos de los Funcionarios de las Comisarías de Familia y de las Casas de Justicia Frente A las Medidas de Atención y Protección de las Mujeres Víctimas de la Violencia en el Área Metropolitana de Bucaramanga (Santander) y Cúcuta (Norte de Santander); Análisis Comparado de las Características Sociodemográficas de la Población Migrante Proveniente de Venezuela Radicada en Bogotá y Bucaramanga 2019; Análisis de la Participación de las Mujeres en el Proceso de Reparación Colectiva A Víctimas Del Conflicto Armado en Casacará en el Municipio de Agustín Codazzi (Departamento Del Cesar) A Luz Del Enfoque de Derechos, Transformador y de Género; Análisis de los Derechos Económicos, Sociales, Culturales, Civiles y Políticos de las Comunidades Afro Descendientes en el Departamento Del Cesar. "El Caso Del Municipio de la Jagua de Ibirico"; Análisis Del Impacto de las Respuestas A las Necesidades Jurídicas Específicas de la Casa de Justicia Del Norte en Bucaramanga y las Casas de Justicia Primero de Mayo y la Nevada en la Ciudad de Valledupar”.; Aproximación Al Fortalecimiento de la Inclusión Educativa de Estudiantes con Discapacidad de la Ciudad de Cúcuta A la Luz de la Normatividad Jurídica Vigente.; Aproximaciones en la Construcción de los Elementos de la Acción de Tutela para la Protección Al Derecho A la Salud en el Consultorio Jurídico de la Universidad de Santander Campus Cúcuta; Caracterización de la violencia de género desde los ámbitos jurídico, psicosocial y laboral; Conflictividad Social en el Marco Del Paradigma Inclusión/Exclusión: una Exploración Desde Ciudad y Territorio; Conflictividad Social en el Marco Delparadigma Inclusión / Exclusión: una Aproximación Desde la Ciudad y Territorio; Conocimiento y Práctica de los Docentes Frente A los Escolares con Trastorno por Déficit de Atención e Hiperactividad; Conocimientos y Actitudes de los Profesionales Sanitarios de los Centros de Salud de los Barrios Café Madrid y Colorados (Bucaramanga, Santander) Respecto A la Salud y Su Relación con los Derechos Sexuales y Reproductivos de las Adolescentes y Niñas; Constructivismo Constitucional en la Formación de Competencias Ciudadanas para Estudiantes No Afines Al Programa de Derecho; Contenido y Alcance de la Responsabilidad Civil en el Contrato de Logística en Colombia, A la Luz de la Teoría de los Actos Propios; Desarrollo de Medios para la Producción In Vitro de Embriones Bovinos Que Aporte los Requerimientos Necesarios para el Metabolismo Celular en Cada una de Sus Etapas.; Desarrollo Territorial: Perspectiva Legal, Antropológica, Económica, Social y Ecológica de la Estrategia Marca Territorio en el Área de Influencia Del Embalse Topocoro Del Departamento de Santander, Colombia, 2023-2025 ; Diagnostico Regional de la Migración en Colombia con Enfoque  de Ddhh (2014-2018). Casi Nodo Nororiental: Diagnóstico de la Situación Migratoria de la Población Asentada en las Comunas 3,4,6 y 7 Del Municipio de Cúcuta Durante los Años 2014 A 2018 con Respecto A los Problemas Educativos, de  Salud, Laborales y Situación Juridica; El Empoderamiento Social A Partir de la Teoría Crítica Acción Comunicativa de Jurgen Habermas; El Incumplimiento Del Contrato de Logistica y la Determinación Del Fundamento de Reparar, un Analisis Desde la Filosida Kantiana; El Posconflicto en Colombia: Realidades y Desafios. un Analisis A Partir de la Teoría de Conflictos de Johan Galtung; El Principio de Tolerancia en la Construcción de Paz en Colombia; Estrategia Andragógica en la Universidad de Santander para Mejorar la Calidad de Aprendizaje en los Estudiantes de Legislación Ambiental; Evaluación Del Nivel de Sexismo Ambivalente y Su Relación con los Factores Sociodemográficos de los Estudiantes de los Programas de Derecho de la Universidad de Santander (Sede Bucaramanga), de la Universidad de Sevilla (España) y de la Universidad Rey Juan Carlos de Madrid (España).; Fundamentos de la Jurisprudencia de la Corte Constitucional Hacia el Matrimonio Igualitario en Colombia y la Argumentación de Sus Opositores; Gestión Cultural, Patrimonio y Políticas Culturales para Fortalecer el Turismo en el Municipio de Valledupar.; Gobernanza colaborativa y conservación ecosistémica en la cuenca del río Fonce: integración de saberes científicos, locales y ancestrales con enfoque de género; Historias que transforman narrativas: Reescribiendo Estereotipos y roles de Género a través de la Escritura Creativa; Identificación Genética de Víctimas de Desaparición Forzada en Santander en el Marco Del Posconflicto en Colombia; Implementación de la Catedra de la Paz en Instituciones Educativas Del Sector Público Del Municipio de Piedecuesta(Santander); Importancia de la Gestión y Respuesta A los Derechos de Petición, Quejas y Reclamos en la Curaduría Primera de Piedecuesta; Integración Del Pensamiento Complejo y Sus Implicaciones en los Procesos de Enseñanza y de Aprendizaje de la Filosofía Del Derecho.; Integración Del Personalismo de Emmanuel Mounier y Sus Implicaciones en los Procesos de Enseñanza y de Aprendizaje de la Ética Del Derecho; Justicia e Instituciones Sólidas: Gobernanza en los Planes de Desarrollo Departamentales en Colombia para la Transparencia y la Lucha Contra la Corrupción; La Conciliación Prejudicial Obligatoria en Procesos de Alimentos Frente Al Derecho A la Tutela Judicial Efectiva en Colombia; La Construcción Histórica de la Idea de Nación en el Discurso de Tres Presidentes de Colombia y México, y Su Reflejo en el Discurso Actual; La Continuidad y Calidad Del Agua un Próposito de Pescadores y Usuarios; La Propiedad Solidaria en Colombia: un Desarrollo Conceptual para una Propuesta Legislativa; La Tolerancia Como Respuesta Ética y Política A la Crisis Humanitaria por el Movimiento Migratorio Venezolano.; La Tolerancia Como un Camino A la Protección de los Derechos de la Población Migrante y Su Inclusión Social, Intervención en la Comunidad Hogar Mafecitas de la Fundación Mujer y Hogar de la Ciudad de Bucaramanga; La Tutela y el Derecho de Acción: Entre la Eficacia Simbólica y la Congestión Judicial; La Violencia Laboral Como una Categoría de Violencia Contra la Mujer en el Marco de las Normas Laborales en Instituciones de Educación Superior Bucaramanga; Marca Comunitaria y Desarrollo Local: Promoviendo el Sentido de Pertenencia y Orgullo de la Asociación de Sobrevivientes por Minas Antipersonal, Munición sin Explosionar y Trampas Explosivas Del Norte de Santander -Asovivir.; Paradigmas de Investigación en los Estudiantes de Pregrado Del Programa de Derecho de la Universidad de Santander de la Sede de Bucaramanga; Pazeos Vallenatosla Cancion Vallenata: una Herramienta para la Construccion Colectiva de Estrategias de Desarrollo Territorial y Construccion de Paz ; Pedagogía de Paz: las Juntas de Acción Comunal Como Actores Claves para la Construcción de Paz en el Municipio de Piedecuesta.; Politicas y Estrategias para Garantizar la Protoeccion Laboral en España y Colombia de las Mujeres Migrantes; Pos Conflicto y Procesos de Paz Colombia- México: la Nueva Agenda de los Derechos Humanos de las Mujeres, Niñas y Adolescentes.; Propuesta de Creación de un Nuevo Trámite Ante el Departamento Administrativo de la Función Pública, para el Registro de Empresas Que Utilicen Recursos Naturales Como Materia Prima en Colombia; Pro-tegiendo Nuestra Identidad: Fortalecimiento de la Industria de la Moda con Mujeres Emprendedoras del Norte de Santander; Voces de Resiliencia, Tras las Huellas de la Mina: Imagen, Identidad Comunitaria y Producción de Contenidos Sonoros: Promoviendo Resiliencia y Pertenencia en Asociaciones de Sobrevivientes  por Minas Antipersonales, Munición sin Explosionar y Trampas Explosivas en el Departamento Norte de Santander.; Vulneración de los Derechos Fundamentales A la Salud y A la Educación de la Población de Niños, Niñas y Adolescentes con Trastorno Del Desarrollo Neurológico, en la Ciudad de Bucaramanga</t>
  </si>
  <si>
    <t xml:space="preserve"> Activismo Constitucional y Sociedad    ; Calidad de Vida y Bienestar Social    ; Democracia, Derechos Humanos, Enfoque de Género y Construcción de Paz    ; Desarrollo Social y Económico    </t>
  </si>
  <si>
    <t xml:space="preserve">  Derecho, Feminismo y Transformación Social en Colombia; Alterum Non Laedere ; Ambientelex; Anthropos Iuris; Colombia Actualidad Jurídica Política y Comercial; Construyendo Caminos ; Cypa ; Derecho Penal y Ser Humano; Derecho, Innovación e Inteligencia Artificial; Familia, Sociedad y Estado; Ius Puniendi ; Juristas en Proceso; Metamorfosis ; Partenón; Semillero Antiviolencia  ; Semillero de Derecho Penal; Semillero de Estudios Polìticos y Gobierno; Semillero Derecho Laboral y Seguridad Social; Semillero Derecho y Sociedad; Transición Energética, Trabajo Decente y Familia</t>
  </si>
  <si>
    <t>GRUPO DE INVESTIGACION EN JURISPRUDENCIA Y ACTIVISMO CONSTITUCIONAL</t>
  </si>
  <si>
    <t>Ingenierías Electrica, Electrónica e Informática</t>
  </si>
  <si>
    <t>Ingeniería de Sistemas y Comunicaciones</t>
  </si>
  <si>
    <t xml:space="preserve">
Ana Emily Bolivar Carrillo ( Asesor externo nacional - Activo)  || 
Daniela  Villamizar Mendoz ( Coinvestigador externo nacional - Activo)  || 
Diego Alberto Rincon Yanez ( Investigador - Activo)  || 
Douglas  Acosta Contreras ( Tutor de semillero de investigación - Activo)  || 
Enith Johana Pacheco Casadiegos ( Tutor de semillero de investigación - Activo)  || 
Feissan Alonso Gerena Mateus ( Asesor interno udes - Activo)  || 
Jonathan Rolando Rey Castillo ( Investigador - Activo)  || 
Lesley Fabiola Bohorquez Chacon ( Lider de grupo de investigación - Activo)  || 
Lorencita  Rodriguez Galezo ( Investigador - Activo)  || 
Luis Carlos Carvajalino Rodriguez ( Tutor de semillero de investigación - Activo)  || 
Maria Del Pilar Rojas Puentes ( Investigador - Activo)  || 
Marieth Maria Perpiñan Araujo ( Investigador principal udes - Activo)  || 
Nataly  Duque Paez ( Investigador - Activo)  || 
Olman Gerardo Suarez Moreno ( Asesor interno udes - Activo)  || 
Sara María Romero  ( Investigador - Activo) </t>
  </si>
  <si>
    <t>LESLEY FABIOLA BOHORQUEZ CHACON</t>
  </si>
  <si>
    <t xml:space="preserve"> Especialización Universitaria; Maestría; Universitaria</t>
  </si>
  <si>
    <t xml:space="preserve"> Análisis de los Procesos Productivos Que Influyen en el Ausentismo de los Trabajadores de las Pymes en el Sector Textil en el Periodo 2015-2017 de la Ciudad de Cúcuta Norte de Santander; Arte Participativo y Transformación Cultural en Espacios Urbanos en la Ciudad Frontera; Cartografías Del Yo Digital: Investigación-Creación Sobre Representaciones Sociales de las Tecnologías digitales de Jóvenes Vulnerables de Cúcuta y Valledupar.; Consolidación de Plataforma Abierta de Detección Sísmica con IA Híbrida; Detección de Sars-Cov-2 y Virus de la Hepatitis A en Aguas Residuales de la Ciudad de  Cúcuta Como Estrategia Predictiva de Brotes. Estudio Multicéntrico.; Diseño de un Modelo de Vinculación Laboral para Personas en Proceso de Reintegración Económica Del Departamento Norte de Santander”.; Diseño participativo de recursos comunicativos para la sensibilización y educación sobre la diabetes mellitus en pacientes de la E.S.E Hospital Juan Luis Londoño, El Zulia, Norte de Santander.; Estrategia de Comunicación Digital para la Divulgación Del Aprovechamiento de Residuos Agrícolas de Cacao y Caña, en un Modelo de Economía Circular. Dirigido A Comunidades Rurales y Urbanas de los Santanderes y Cesar; Estrategia Didáctica para el Proceso Formativo de Pruebas de Software en Instituciones de Educación Superior; Evaluación Del Efecto de una Cartilla Virtual en el Aprendizaje de Buenas Prácticas de Manufactura, Mediante Su Aplicación en Estudiantes Del Programa de Bacteriología y Laboratorio Clínico de la Universidad de Santander, 2021-2022; Fortalecimiento de Capacidades en la Planificación Del Alcance, Tiempo y Costo de los Proyectos Desarrollados por las Empresas de Servicios de Cúcuta y Su Área Metropolitana Bajo los Fundamentos Del Pmbok.; Impacto de los Trabajos de Grado de los Programas Ingeniería de Sistemas y Especialización en Administración de Proyectos Elaborados Entre 2015 y 2021.; Implicaciones de la Ecónomia Del Conocimeinto en los Egresados de la Facultad de Ciencias Económicas Administrativas y Contables de la Udes Cúcuta; Implicaciones de la Economía Del Conocimiento en los Graduados de los Programas de Ingeniería de Sistemas de la Universidad de Santander y la Universidad Francisco de Paula de Santander Campus Cúcuta.; Modelamiento de Btx por Emisiones Vehiculares en Zonas Estratégicas Del Municipio de Cúcuta con Mediciones de Módulos Electrónicos de Bajo Costo Basado en Ia; Modelo de Apoyo A la Rehabilitación Del Paciente Amputado de Miembro Inferior Basado en Concepto de Autogestión Del Usuario Utilizando Tecnologías Móviles en Instituciones de Salud de la Ciudad de Cúcuta.; Normalización y documentación FAIR del acervo nacional de calidad del aire (IDEAM/SISAIRE, 2011–2023): conjunto de datos semántico reutilizable para explotación tecnológica; Relatos y cartografía social de adultos mayores sobre Los Patios; Validación de Acciones de Intervención de Desarrollo Social Comunitario y Factores Ambientales Influyentes en Población Femenina Migrante Del Asentamiento el Talento de la Ciudad de Cúcuta; Validación de Acciones de Intervención de Desarrollo Social Comunitario y Factores Ambientales Influyentes en Población Femenina Migrante Del Asentamiento el Talento de la Ciudad de Cúcuta Norte de Santander</t>
  </si>
  <si>
    <t xml:space="preserve"> Desarrollo y Competitividad    ; Diseño Multimedia y Transmedia    ; Gestión de Proyectos    ; Ingeniería de Software    </t>
  </si>
  <si>
    <t xml:space="preserve"> D; Dime - Diseño Innovación y Medios; Semillero de Investigación en Big Data e Inteligencia Artificial (Sibia); Semillero de Investigación en Lenguajes de Programación; Tisos - Tendencias de la Ingeniería de Sistemas Orientadas A la Sociedad </t>
  </si>
  <si>
    <t>GISOFT - GRUPO DE INVESTIGACION EN DESARROLLO DE SOFTWARE</t>
  </si>
  <si>
    <t>Medicina Básica</t>
  </si>
  <si>
    <t>Neurociencias</t>
  </si>
  <si>
    <t xml:space="preserve">
Angie Daniela Lizarazo Castellanos ( Estudiante posgrado - Activo)  || 
Anne Alejandra Hernandez Castañeda ( Estudiante posgrado - Activo)  || 
Dayana Tibisay Perdomo Amaris ( Coinvestigador udes - Activo)  || 
Elkin Rene Llanez Anaya ( Investigador - Activo)  || 
Ewing  Duque Diaz ( Lider de grupo de investigación - Activo)  || 
Gabriel Manuel Vargas Grau ( Coinvestigador udes - Activo)  || 
Genny  Meléndez Flórez  ( Estudiante posgrado - Activo)  || 
Hernan  Hurtado Giraldo ( Investigador - Activo)  || 
Jennifer Amalia Portilla Rodriguez ( Investigador - Activo)  || 
John Jaime Quimbaya Ramirez ( Investigador - Activo)  || 
José David Vargas Caicedo ( Investigador - Activo)  || 
Linda Patricia Rocha Muñoz ( Investigador - Activo)  || 
Nelcy Patricia Reyes Calderon ( Coinvestigador udes - Activo)  || 
Oscar Dario Medina Ortiz ( Coinvestigador udes - Activo)  || 
Ronal  Garcia Gomez ( Investigador - Activo)  || 
Sandra Milena Leal Pinto ( Coinvestigador udes - Activo)  || 
Sergio Andrés Conde Ocazionez ( Investigador - Activo)  || 
Tito  Vivas Buitrago ( Coinvestigador udes - Activo)  || 
Valentina  Gonzalez Galindo ( Estudiante posgrado - Activo) </t>
  </si>
  <si>
    <t>EWING  DUQUE DIAZ</t>
  </si>
  <si>
    <t xml:space="preserve"> Análisis de Patrones Oscilatorios Del Potencial de Campo Hipocampal de Ratas, Asociado A la Memoria de Reconocimiento de Objetos; Análisis Electrofisiológico de la Actividad Hipocampal de Ratas Durante la Reconsolidación de la Memoria; Caracterización de Marcadores de Sincronía Neuronal en el Hipocampo de Ratas Durante la Exposición de Estímulos Aversivos. ; Caracterización Morfológica A Inmunohistoquimica de la Vascularizacion, Organizacion de Celulas de Schwann y Regeneración de Fibras Nerviosas en una Guia Bioartificial Que Continene Células Dermicas Incluidas en una Matriz de Fibrina y Plasma Rico en Factores de Crecimiento ; Cinética de la Proliferación de Células de Schwann en Nervios Lesionados de Conejos: Estudio Inmunohistoquímico y Molecular; Desarrollo de Membranas Biopoliméricas con Péptido Antimicrobiano: Evaluación de Propiedades Antibacterianas y Biocompatibilidad; Desempeño Psicométrico  una Versión Breve Del Cuestionario de Craving para Cocaína (Ccq-N-10)  en Pacientes Hospitalizados  de una Unidad de Tratamiento de  Trastornos Adictivos  en Bucaramanga Colombia, 2019; Efecto de la Exposición A Herbicidas en el Desarrollo de la Actividad Neuroendocrinológica de Crias de Rata Wistar.; Efectos Del Programa de Reducción de Estrés Basado en Mindfulness en la Regulación Cardiovascular de Pacientes Que Asisten A un Programa de Riesgo Cardiovascular. Fase 1. Regulación Cardiovascular; Efectos Del Programa de Reducción de Estrés Basado en Mindfulness en la Regulación Cardiovascular de Pacientes Que Asisten A un Programa de Riesgo Cardiovascular. Fase 2. Bienestar Psicológico; Estudio Comportamental, Electrofisiológico e Inmunocitoquímico de Ratas de Alta y Baja Reactividad Emocional; Estudio de Asambleas Neuronales Interhemisféricas Como Marcador Electrofisiológico de la Integración de los Hemicampos Visuales. ( Proyecto 2); Estudio de la Expresión de Th, Pgp 9.5, Bdnf y Calmodulina en el Cerebro Anterior de Alevinos y Juveniles de Cachama Blanca (Pyaractus Brachypomus) para el Establecimiento de un Nuevo Modelo para el Estudio Del Papel de Toxinas Ambientales en el Desarrollo de la Enfermedad de Parkinson.; Estudio Histológico Del Efecto de una Presentación Comercial de Glifosato Sobre el Proceso de Cicatrización Del Tejido Conectivo Usando un Modelo de Guías para Regeneración de Nervio; Expresión Del Ácido Retinoico en el Tronco Del Encéfalo de Rata Adulta: Estudio Inmunocitoquímico; Impacto Epigenético de un Programa Psicoterapéutico en Adolescentes con Experiencias Adversas Severas; Influencias Monoculares de Diferentes Frecuencias Espaciales en la Corteza Visual Primaria de Gatos ( Proyecto 1); Inmunodetección de Ácido Fólico en el Tronco Del Encéfalo de Cadavares de Niños Desde las 36 Semanas Hasta los 12 Años; Interacciones Electrofisiológicas Entre el Hipocampo y Corteza Prefrontal de Ratas Durante el Reconocimiento de Objetos; Modelo de Causalidad de la Dispersión de los Gases Btx Emitidos en las Estaciones de Servicio de Combustibles y Efectos de los Gradientes de Exposición Del Personal Circundante en la Ciudad de Bucaramanga; Validación y Adaptación de la Encuesta Phq-9 (Patient Health Questionnaire-9) para el Cribado de Depresión en Usuarios de Atención Primaria en Bucaramanga, Colombia</t>
  </si>
  <si>
    <t xml:space="preserve"> Degeneración y Regeneración Del Sistema Nervioso    ; Neuroquímica y Neurofisiología     ; Neurotoxicología    ; Salud Mental    </t>
  </si>
  <si>
    <t xml:space="preserve"> Cortex; Psiquiatría Positiva; Semillero de Neurocirugia</t>
  </si>
  <si>
    <t>NEUROCIENCIAS UDES</t>
  </si>
  <si>
    <t xml:space="preserve"> Unidad: Medicina Veterinaria y Zootecnia (035 - Valledupar); Unidad: Medicina (018 - Valledupar); Unidad: Departamento Ciencias Básicas (Valledupar); Unidad: Bacteriología y Laboratorio Clínico (017 - Valledupar)</t>
  </si>
  <si>
    <t xml:space="preserve">
Abid Silvestre Cañate Gonzalez ( Investigador - Activo)  || 
Adnellys Beatriz Argote Arrieta ( Coinvestigador udes - Activo)  || 
Alfonso Rafael Campo Carey ( Asesor externo internacional - Activo)  || 
ANGEL ALEXIS MUEGUES SALAS ( Investigador - Activo)  || 
Aslenis Emidia  Melo Ríos  ( Coinvestigador udes - Activo)  || 
Bertilda  Pedraza Claros ( Lider de grupo de investigación - Activo)  || 
Cristian David Estupiñan Molina ( Investigador principal udes - Activo)  || 
Daniel Mauricio Echeverri De la Hoz ( Investigador - Activo)  || 
Diana Cenobia Molina Campo ( Tutor de semillero de investigación - Activo)  || 
Edinson  Alfaro Martínez ( Estudiante posgrado - Activo)  || 
Elia Mercedes Fragoso Amaya ( Colider de grupo de investigación - Activo)  || 
Emir  Rueda Rue ( Coinvestigador udes - Activo)  || 
Ginna Paola Rodriguez de la Vega ( Investigador - Activo)  || 
Gloria Ines Morales Parra ( Coinvestigador udes - Activo)  || 
Gloria Isabel Gutierrez de Piñeres Ramirez ( Investigador - Activo)  || 
Gloria Yasmina Rojas Caicedo ( Coinvestigador udes - Activo)  || 
Hedilka Judith Jimenez Rios ( Coinvestigador udes - Activo)  || 
Ibis Margarita De la Hoz de la ( Coinvestigador udes - Activo)  || 
Jenny Alexandra Portillo Paba ( Coinvestigador udes - Activo)  || 
Jesus Alfonso Sanchez Viafara ( Coinvestigador udes - Activo)  || 
Jhanna Patrick Brieva Fuentes ( Coinvestigador udes - Activo)  || 
Jockjan Javier Cotes Sprockel ( Coinvestigador udes - Activo)  || 
Jose Yesid Rodriguez Quintero ( Investigador - Activo)  || 
Julie Fernanda Benavides Arevalo ( Coinvestigador udes - Activo)  || 
Julieth Esteher Oliveros Barros ( Coinvestigador udes - Activo)  || 
Julio Cesar Duran Perez ( Investigador - Activo)  || 
Leonardo Jose Maya Amaya ( Investigador - Activo)  || 
Lesby Johanna Lora Carrillo ( Coinvestigador udes - Activo)  || 
Licelly  Montaño Vega ( Coinvestigador udes - Activo)  || 
Linda Patricia Rocha Muñoz ( Coinvestigador udes - Activo)  || 
Mabely Juliana Mosquera Heredia ( Coinvestigador udes - Activo)  || 
Maria Bernarda Molina Araujo ( Coinvestigador udes - Activo)  || 
Miriam Katiuska Padilla Calderon ( Coinvestigador udes - Activo)  || 
Orlando  Mena Alvare ( Coinvestigador udes - Activo)  || 
Rosangela  Perez Salinas ( Coinvestigador udes - Activo)  || 
Sergio  Aguilar Acuña ( Coinvestigador udes - Activo)  || 
Sirley Adriana Ortiz Bedoya ( Coinvestigador udes - Activo)  || 
Soraya  Morales Lopez  ( Investigador - Activo)  || 
Torcoroma  Lobo Rincon ( Investigador - Activo)  || 
Victor Gerardo Petro Hernandez ( Coinvestigador udes - Activo)  || 
Yennys Esther Robles Cuello ( Asesor externo internacional - Activo) </t>
  </si>
  <si>
    <t>BERTILDA  PEDRAZA CLAROS</t>
  </si>
  <si>
    <t xml:space="preserve"> Ambiente y Alimentos Contaminados con Mohos y Su Relacion con el Decline Cognitivo en el Adulto Mayor; Caracterización de 11 Tipos de Bagazo de Caña para Su Potencial Uso Industrial ; Caracterización de Microorganismos Fitopatógenos y Endófitos Asociados Al Fruto de Mangifera Indica L. Cv. Keitt.  Cultivados en el  Departamento Del Cesar ; Cartografías Del Yo Digital: Investigación-Creación Sobre Representaciones Sociales de las Tecnologías digitales de Jóvenes Vulnerables de Cúcuta y Valledupar.; Cinética de la Aireación en el Proceso de Fermentación en Estado Sólido Llevado A Cabo en Biorreactores A Escala de Laboratorio para Generar Abono Orgánico; Coinfección Bacteriana Asociada A la Covid-19 y Resistencia A Antimicrobianos en Pacientes Hospitalizados de la Región de Santander – Colombia Durante el Año 2020.; Comparación de los Resultados de las Pruebas Serológicas y Moleculares para Vhb, Vhc y Vih en Donantes de Sangre Que Asisten Al Homocentro y Unidad de Aféresis de Valledupar para la Evaluación de Su Valor Diagnóstico en la Reducción Del Periodo de Ventana; Comportamiento Proambiental en Estudiantes de Pregrado de la Udes Sede Valledupar.; Desarrollo de Medios para la Producción In Vitro de Embriones Bovinos Que Aporte los Requerimientos Necesarios para el Metabolismo Celular en Cada una de Sus Etapas.; Desarrollo de un Prototipo de Alimento Funcional A Base de Microorganismos Probióticos Encapsulados Destinados A Población Infantil; Desarrollo Experimental para el Mejoramiento de la Competitividad Del Sector Cafetero Del Departamento de Cesar; Descripción de las Lineas Celulares en Sangre Periférica en Población con Presencia de Blastos en Diferentes Reguiones de Colombia Durante el Año 2017; Detección de Sars-Cov-2 y Virus de la Hepatitis A en Aguas Residuales de la Ciudad de Valledupar Como Estrategia Predictiva de Brotes. Estudio Multicéntrico; Detección Molecular Del Virus Linfotrópico Humano de Células T Tipo 1 en Donantes de un Banco de Sangre Del Departamento Del Cesar.; Determinación de Factores de Riesgo Cardiovascular en Estudiantes de la Universidad de Santander Sede Valledupar, Durante el Año 2020.; Determinación de la Tenencia de Especies Silvestres Como Mascotas en la Comuna uno de Valledupar, Colombia; Determinación y Verificacion de los Intervalos de Referencia de Analitos de Química Clínica en Laboratorios Del Nororiente Colombiano; Diagnóstico y Hoja de Ruta para la Transformación de los Sistemas Alimentarios de Santander A Partir Del Enfoque Folu; Diagnóstico y Hoja de Ruta para la Transformación de los Sistemas Alimentarios de Santander A Partir Del Enfoque Folu: Sistematización de Experiencias para Cesar; Diseño de una Estrategia para la Articulación Comercial Formal Del Cacao Especial Indígena de la Sierra Nevada de Santa Marta; Efecto de Conflicto Armado en las Condiciones de Salud de los Excombatientes de las Farc Ubicados en el Corregimiento de San José de Oriente, Municipio de la Paz – Cesar.; Efecto de la Bioestimulación de Hongos Formadores de Micorrizas en el Rendimiento de Cultivos de Manihot Esculenta Cultivado en el Corregimiento de Mariangola, Cesar; Estrategias de Manejo agroecológico para Control de Enfermedades Postcosecha de Mangifera Indica L. Cv. Keitt para el Departamento Del Cesar; Estudio Comparativo en Tre Ténicas para la Realización de Velocidad de Sedimentación Globular en Pacientes Que Acuden Al Hospital Eduardo Arredondo Daza de Valledupar; Estudio de la Expresión de Th, Pgp 9.5, Bdnf y Calmodulina en el Cerebro Anterior de Alevinos y Juveniles de Cachama Blanca (Pyaractus Brachypomus) para el Establecimiento de un Nuevo Modelo para el Estudio Del Papel de Toxinas Ambientales en el Desarrollo de la Enfermedad de Parkinson.; Estudio Multicéntrico de Medición de Cultura de Seguridad Del Paciente en Instituciones Hospitalarias de Valledupar 2021; Evaluación de la Actividad Antagonista de Streptomyces Sp., Aisladas de Panales de Abejas Frente A Patógenos de Importancia Clínica Resistentes A Carbapenémicos.; Evaluación de la Actividad Antibacteriana de Extractos Bioactivos Producidos por Streptomyces Sp., Aisladas de Panales de Abejas (Apis Mellifera) Frente A Bacterias Resistentes A Antibióticos.; Evaluación de la Actividad Antimicrobiana de Compuestos Bioactivos Producidos por Streptomyces Sp. Frente A Klebsiella Pneumoniae y Pseudomonas Aeruginosa Resistentes A Carbapenémicos"; Evaluación de la Calidad Fisicoquímica y Biológica Del Agua Potable Tratada Envasada de Empresas Productoras de Valledupar en 2023- 2024; Evaluación de la Efectividad de Tratamientos Hidrotérmicos y Microorganismos Antagonistas Frente A Fitopatógenos Que Afectan la Calidad Postcosecha de los Frutos de Mangifera Indica L. Cv. Keitt.; Evaluación de las Coloraciones Wright, Diff Quick y Hemacolor en Muestras Citológicas de Diferentes Tipos de Lesiones Cutáneas en Caninos.; Evaluación Del Impacto de las Actividades de Extensión y Proyección Social Del Programa de Bacteriología y Laboratorio Clínico, Universidad de Santander, Valledupar; Formulación de un Prototipo Nutricional Rico en Fibra A Partir de Bagazo de Caña, Dirigido A la Prevención y Control de la Obesidad; Fortalecimiento de las Competencias Emocionales: una Deuda Pendiente en la Educación Pública en el Departamento Del Cesar; Fortalecimiento Del Manejo Ambiental y Sanitario por los Caficultores Indígenas de   la   Etnia   Kankuamo con    Asentamiento    en Pueblo Bello, Como Alternativa  de  Mitigación Del  Impacto  Ambiental  y Su    Efecto     en     Salud Pública; Identificación de Klebsiella Pneumoniae  y Pseudomonas Aeruginosa Asociadas A la Resistencia de Carbapenemasas en Aislamientos de Diferentes Áreas de Servicio y Población en el Departamento Del Cesar. ; La Ruta Del Diseño; Medición de Cultura de Seguridad Del Paciente en el Servicio de Laboratorio Clínico de Instituciones de Salud de Valledupar, 2020; Mejoramiento de la Viabilidad Embrionaria y Aumento Del Porcentaje de Preñez en Programas de Transferencia de Embriones Bovinos Producidos In Vitro Mediante la Adición de un Agonista (L-165041) Del Receptor  Proliferador de Peroxisomas Delta-Ppard en los Medios de Cultivo Embrionario; Microorganismos Causantes de Afecciones Respiratorias en Pacientes Diagnosticados con Covid -19 en una Clínica Privada de la Ciudad de Valledupar"; Microorganismos Causantes de Afecciones Respiratorias en Pacientes Diagnosticados con Covid-19 en una Clínica Privada de la Ciudad de Valledupar; Modelo Descriptivo de Minería de Datos para la Determinación de los Factores de Éxito en Innovación Empresarial en Colombia y México; Patrón de Resistencia Antibiótica en Uropatógenos Aislados de Pacientes en una Institución Hospitalaria de Valledupar; Restauración de Cuerpos de Agua con Afectaciones de Vertimientos de Aguas Residuales con Riesgo Epidemiológico en Bucaramanga, Valledupar  y Cúcuta 2024-2025; Restauración de una Quebrada en Valledupar con  Afectaciones de Vertimientos de Aguas Residuales con Riesgo Epidemiológico en Donde la Universidad de Santander Tiene Influencia. ; Tipificación   Del   Virus   Del   Papiloma   Humano   y Descripción de Factores de Riesgo  de  Infección  en Estudiantes Universitarias; Trastorno de Espectro Autista y Su Relación con el Eje Cerebro-Intestino-Microbiota en Niños y Niñas de la Ciudad de Valledupar.</t>
  </si>
  <si>
    <t xml:space="preserve"> Biotecnología y Seguridad Alimentaria    ; Diagnóstico y Técnicas Moleculares en Salud y Medio Ambiente    ; Enfermedades Crónicas e Infecciosas    ; Gestión de la Calidad    ; Producción Pecuaria Sustentable    </t>
  </si>
  <si>
    <t xml:space="preserve"> Bacteriólogos Innovadores para el Mundo; Exploradores de la Ciencia; Genetics Aspects; Innovación Tecnológica en Ciencias de la Salud; Investigación Es Salud; Investigación Médica Del Valle  de Upar; Investigadores en Formación; Jovenes Investigadores en Ciencias Biologicas ; Lisal, "Mujer, Salud y Vida"; Médicos Investigadores Del Futuro; Nuevo Amanecer; Scientist Investigators; Semillero de Investigación en Bioinformática y Microbiológica Aplicada; Semillero de Investigación en Ciencias Médicas; Semillero de Investigación Salud y Medio Ambiente ; Semillero de Investigación Salud-Enfermedad en Contexto; Sinbiomed - Semillero de Investigación para  Incentivar el Uso de  Herramientas Biotecnológicas en P; Síntesis de Compuestos de Coordinación y Química Bioinorgánica ; Sisam - Semillero de Investigación Salud y Ambiente; Zooudes</t>
  </si>
  <si>
    <t xml:space="preserve">
Adriana Lucia  Pico Romero  ( Investigador - Activo)  || 
Adriana Maria  Gil Zapata  ( Investigador - Activo)  || 
Alvaro Andres Amaya Vesga ( Investigador - Activo)  || 
Andrea Juliana Mantilla Paredes ( Investigador - Activo)  || 
Bayron Enrique Agualimpia Valderrama ( Investigador - Activo)  || 
Carlos Augusto Acevedo Isidro ( Investigador - Activo)  || 
Carlos Omar Bautista Mendoza ( Investigador - Activo)  || 
Carolina  Santos Heredia ( Investigador - Activo)  || 
Christian Andrei Chacin Zambrano ( Investigador - Activo)  || 
Claudia Magaly  Sandoval Ramirez  ( Investigador - Activo)  || 
Deicy  Villalba Rey ( Investigador - Activo)  || 
Edgar Javier  Rincón Barón  ( Investigador - Activo)  || 
Eliana Ximena Narvaez Parra ( Investigador - Activo)  || 
Fabiola Cecilia Aguilar Galvis ( Investigador - Activo)  || 
Franci Nathalie Gómez Jaimes ( Lider de grupo de investigación - Activo)  || 
Francisco Javier Leon  ( Investigador - Activo)  || 
Fredy Antonio Rodriguez Prada ( Investigador - Activo)  || 
Giampaolo  Orlandoni Merli ( Investigador - Activo)  || 
Hector Javier Narvaez Bedoya ( Investigador - Activo)  || 
Indira Paola Hernandez Peñaranda ( Investigador - Activo)  || 
Jaider  Muñoz Guerrero ( Investigador - Activo)  || 
Javier Andres  Soto ( Investigador - Activo)  || 
Johanna Marcela Florez Castillo ( Investigador - Activo)  || 
Jorge Daniel Osorio Marquez ( Investigador - Activo)  || 
Jose Luis Ropero Vera ( Investigador - Activo)  || 
Juan Carlos Caicedo Cepeda ( Investigador - Activo)  || 
Juana Valentina Arteaga Faria ( Estudiante pregrado - Activo)  || 
Juana Valentina Vega Santoyo ( Estudiante pregrado - Activo)  || 
Julie Fernanda Benavides Arevalo ( Investigador - Activo)  || 
Miguel Oswaldo Perez Pulido ( Investigador - Activo)  || 
Mónica  Fajardo López ( Investigador - Activo)  || 
Pedro  Patiño  ( Investigador - Activo)  || 
Ruben Sneider Blanco Isaza ( Estudiante pregrado - Activo)  || 
Victor Hugo Ochoa Henriquez ( Investigador - Activo)  || 
Vivian Andrea Rudas Nova ( Estudiante pregrado - Activo)  || 
Viviana Lucía Pérez Forero ( Investigador - Activo)  || 
Wilfredo  Valdvieso Quintero ( Investigador - Activo)  || 
Wolfang Alexander Osma Castellanos ( Investigador - Activo) </t>
  </si>
  <si>
    <t>FRANCI NATHALIE GÓMEZ JAIMES</t>
  </si>
  <si>
    <t xml:space="preserve"> Adn Estructurado para el Reconocimiento de Células de Salmonella Entérica ; Adn Estructurado para Reconocimiento de Células de Salmonella Entérica: Fase Ii Paso de Tlr4 A Tlr6; Análisis y Evaluación de Impacto y la Percepción Del Icetex Como Institución para la Promoción y Acceso A la Educación Superior en Colombia” con la Universidad Cooperativa de Colombia y el Icetex.; Aprovechamiento de Residuos de Palma Aceitera A Partir de Procesos Biotecnológicos para el Desarrollo de Productos de Interés Agroindustrial; Asociación de los Niveles Plasmáticos de la Hormona Antimülleriana con la Población Folicular Antral y con la Fertilidad de Vacas Criollas de la Raza Chino Santandereano; Caracterización de Lipasas Del Patógeno Oportunista Candida Palmioleophila y Su Influencia en la Infectividad de Macrófagos In Vitro.; Caracterización Molecular de Microorganismos y Nuevos Genes con Potencial para Degradar Grasas y Aceites; Child Labor In Colombia: Do Lifestyles And Background Differ Across Activities?; Conjunto de datos sobre percepción ciudadana y gestión de residuos en el centro de Bucaramanga, para su utilización en Inteligencia Artificial; Construcción de Propiedades y Criterios para la Selección Entre Estimación Ponderada y No Ponderada por Pesos Muestrales; Contexto de la educación rural en Colombia: descubrimiento de conocimiento en bases de datos multifuentes; Dataset de consumo de tabaco en estudiantes para su potencial uso en modelos de inteligencia artificial en el sector salud ; Dataset para un modelo predictivo y mapeo del riesgo de micoplasmosis canina en Colombia con inteligencia artificial; Desarrollo de Biocompositos de Celulosa y Extractos Bioactivos A Partir de los Residuos Del Fruto de Sacha Inchi (Plukenetia Volubilis L.) ; Desarrollo de Membranas Biopoliméricas con Péptido Antimicrobiano: Evaluación de Propiedades Antibacterianas y Biocompatibilidad; Desarrollo de un Biofiltro de Separación Bifásica con Residuos de Moringa Oleifera para la Remoción Biológica de Sulfuro de Hidrógeno en Aire; Desarrollo de un Modelo de Diseño y Producción de Férula para Fractura de Antebrazo en Población Pediátrica A Partir de Técnicas de Fabricación Digital; Desarrollo de un Modelo de Gestión de Turismo de Naturaleza Comunitario para el Área de Influencia Del Embalse de Topocoro, Procedente de Distintas Áreas de Gestión y Divulgación Científica para el Impulso de la Participación Activa de la Sociedad y el Uso Sostenible Del Patrimonio Natural. ; Desarrollo de un Prototipo Compacto de Integración Mixta Contactor Rotacional Biológico (Rbc) e Inóculos Especializados, para el Tratamiento de Vertimientos Industriales A Partir de Procesos Biotecnológicos. ; Desarrollo de una Cabina de Aclimatización Sostenible para el Proceso de Cultivo In Vitro Vegetal; Desarrollo de una Cabina Dual Sostenible para los Procesos de Hidroponía y Germinación Vegetal.; Desarrollo e Implementación de un Sistema de Biorreactores Bajo Inmersión Temporal con el Fin de Semiautomatizar los Procesos de Propagación In Vitro y la Obtención de Metabolitos Secundarios; Detección de Patógenos Emergentes (Sars-Cov-2) y Re-Emergentes (Rickettsias) en Caninos Procedentes Del Área Metropolitana de Bucaramanga.; Determinación de la Presencia de Toxoplasma Gondii en Carne para Consumo Humano en la Zona Metropolitana de Bucaramanga.; Determinación de la Prevalencia de Serovares de Salmonella Spp en Huevo para Consumo Humano; Digestión Anaeróbica de Corteza de Pulpa de Cacao y Bagazo de Caña A Través de la Obtención y Adaptación de un Consorcio de Microorganismos con Actividad Lignocelulósica.; Diseño de Sondas de Nucleótidos Tipo Lamp para la Identificación de Bacterias Sulfato Reductoras Presentes en Aguas Asociadas A la Producción de Hidrocarburos; Diseño y Fabricación de Modelo Biomecánico de Miembro Superior Del Cuerpo Humano A Pa+I218rtir de Fabricación Digital para el Campo Educativo; Duración Del Desempleo y Probabilidad de Empleo en Colombia: un Enfoque Global; Ejemplo 2023; El Impacto Del Uso de la Motocicleta en la Planificación Urbana Del Amb: Accidentalidad, Transporte Informal y Aumento Del Parque Automotor ; Empoderamiento Comunitario para Promoción de la Salud y Prevención de la Enfermedad: Intervenciones Desde la Ciencia Traslacional; Establecimiento Del Proceso de Micropropagación Del Frailejón Espeletia Conglomerata con el Fin de Contribuir A la Conservación de Especies Amenazadas Del Páramo de Santurbán en Vetas, Santander.; Estrategias de Marketing para el Turismo Natural Comunitario en el Aid Del Embalse de Topocoro A Partir de las Potencialidades de la Biodiversidad, las Practicas Culturales y los Hitos Naturales Del Territorio.; Estudio de Viabilidad para la Implementación de Franjas de Paradas Transitorias de Motocicletas en Algunas Intersecciones Semaforizadas Del Municipio de Bucaramanga.; Estudio Epidemiológico de Infecciones Virales, Bacterianas y Parasitarias en Regiones Ganaderas de Doble Propósito de Colombia; Estudio Indirecto de los Potenciales Hospedadores Vertebrados, Infección Natural y Genotipificación de Leishmania Spp., en Flebótomos Colectados en un Área Endémica de Leishmaniasis Cutánea en Norte de Santander, Colombia; Evaluación de Efecto de un Consorcio Microbiano Pgpm Sobre la Producción de Sacha Inchi y la Calidad de Su Aceite Prensado en Frio; Evaluación de la Aceptabilidad y Viabilidad Financiera de 3 Prototipos de Chocolatería Funcional con Encapsulados de Lactobacillus Casei y Biomasa de Arthrospira Platensis en Etapa Precomercial.; Evaluación de la Actividad Antibacteriana Del Péptido Ib-M6 Encapsulado en Esferas de Polivinil Alcohol-Alginato de Sodio Contra Aislados Clínicos de Escherichia Coli; Evaluación de la Capacidad Antioxidante y Antimicrobiana Del Aceite y Extractos Obtenidos Del Fruto de Sacha Inchi (Plukenetia Volubilis L.)",; Evaluación de la Medida de Pico y Placa en la Ciudad de Bucaramanga”.; Evaluación de Seis Consorcios Microbianos Sobre el Desarrollo de Sacha Inchi (Plukenetia Volubilis) Hasta Fase Vegetativa en Condiciones de Semillero.; Evaluación Del Potencial Biofertilizante y Viabilidad Financiera de Consorcios Microbianos para el Cultivo de  Moringa y Sacha Inchi en Condiciones Controladas; Evolución y Volatilidad de las Exportaciones Colombianas; Exploración de las Relaciones Filogenéticas Del Género Belminus (Hemiptera: Tiratominae) Usando el Gen Nuclear 28sd2 y el Mitocondrial Cytb.; Fortalecimiento de Capacidades Investigativas y de Desarrollo Tecnologico Mediante la Formulacion e Implementacion de una Estrategia de Manejo de una Colección Biologic de Microorganismos de Origen Ambiental para Su Aplicación de N Procesos Biotecnologicos de Demanda en la Industria.; Gobernanza colaborativa y conservación ecosistémica en la cuenca del río Fonce: integración de saberes científicos, locales y ancestrales con enfoque de género; Identificación Genética de Víctimas de Desaparición Forzada en Santander en el Marco Del Posconflicto en Colombia; Impacto de la Contabilidad Social en los Modelos de Negocios Empresariales; Mejora de la Sostenibilidad Ambiental Mediante Implementación de Tecnologías en el Marco de la Estrategia Nacional para el Cultivo Del Cacao; Modelación de la Dinámica Económica de Colombia Desde la Óptica de la Dinámica de Sistemas; Modelo de Valor Agregado en la Universidad de Santander: Aplicación para las Competencias Genéricas en las Pruebas Saber Pro 2020; Nanosistemas para el Transporte de Péptidos Quórum Quenchers y Su Efecto en la Formación de Biofilm; Obtención de Materiales Lignocelulósicos A Partir de Residuos de la Producción de Aceite de Sacha Inchi (Plukenetia Volubilis L.); Obtención de Medios Filtrantes A Partir de la Cáscara de la Semilla de Sacha Inchi (Plukenetia Volubilis L.) para el Tratamiento de Efluentes Industriales Finales; Obtención de un Biofertilizante A Partir Del Biochar de Cápsulas y Cáscaras de Sacha Inchi (Plukenetia Volubilis L.) y un Consorcio Microbiano Pgpm; Prototipaje de Biofiltro Utilizando Subproductos de la Agroindustria e Inmovilizados Microbianos Aislados de Minería Aurífera para la Remoción de Metales Pesados y Cianuro en Efluentes ; Proyecto de Prueba; Prueba Obtención de un Biofertilizante A Partir Del Biochar de Cápsulas y Cáscaras de Sacha Inchi (Plukenetia Volubilis L.) y un Consorcio Microbiano Pgpm; Relevamiento de la Herpetofauna (Anfibios y Reptiles) en Habitats Asociados A Actividad Minera: Alto Caribona, Municipio de Montecristo- Sur de Bolivar ; Usnacks: una Formulación Saludable para Fortalecer la Alimentación Infantil; Uso de Agonistas Sintéticos Del Sistema de Quorum Sensing Vía Ahl para Mejorar la Capacidad de Recuperación de Cobre y Oro de los Residuos de Aparatos Electrónicos y Eléctricos Usando Bacterias Del Genero Acidithiobacillus y Pseudomonas; Variación Anual de Hifomicetos Ingoldianos Del Río Frío (Floridablanca, Santander)</t>
  </si>
  <si>
    <t xml:space="preserve"> Biociencias y Ambiente    ; Biotecnología Ambiental y Biodiversidad    ; Biotecnología Industrial y Bioprocesos    ; Biotecnología Vegetal y Recursos Fitogenéticos    ; Estadística y Modelamiento Físico-Matemático    ; Nanotecnología y Biomateriales    </t>
  </si>
  <si>
    <t xml:space="preserve"> Fimes - Exo - Semillero de Física, Matemáticas y Estadística; Microgen; Micromol ; Mikrosostenible; Nanobiot; Semillero de Ciencia, Innovación y Tecnología Aplicada</t>
  </si>
  <si>
    <t>CIBAS - CIENCIAS BASICAS Y APLICADAS PARA LA SOSTENIBILIDAD</t>
  </si>
  <si>
    <t xml:space="preserve">
Claudia Ivonne Arambula Garcia ( Lider de grupo de investigación - Activo)  || 
Fausto René Posso Rivera ( Investigador - Activo)  || 
Hector Alirio Nuñez Gomez ( Colider de grupo de investigación - Activo)  || 
Jael  Contreras Rangel ( Investigador - Activo)  || 
Jorge Ivan Romero Gelvez ( Investigador - Activo)  || 
Jose Vicente Sanchez Frank ( Investigador - Activo)  || 
Juan Camilo Acevedo Paez ( Investigador principal nacional - Activo)  || 
Lesley Fabiola Bohorquez Chacon ( Investigador - Activo)  || 
Maryorie Angelica Avendaño Sanchez ( Investigador - Activo)  || 
Olga Victoria Rodriguez Manasse ( Investigador - Activo)  || 
Sebastian Eduardo Cáceres Gelvez ( Asesor externo internacional - Activo)  || 
Zaydee Jahel Gonzalez Garcia ( Investigador - Activo) </t>
  </si>
  <si>
    <t>CLAUDIA IVONNE ARAMBULA GARCIA</t>
  </si>
  <si>
    <t xml:space="preserve"> Análisis de la Eficiencia de los Procesos de  Transesterificación Química y Enzimática en la Producción de Biodiesel A Partir de Aceite de Fritura; Cuentos de la Tierra y Memética: Tejiendo el Legado Tradicional en la Tierra Fértil de la Memoria; Desarrollo de un Producto A Base de Ciénego y Microorganismos Nativos Como Pontencial Biofertilizante de Suelos de Cultivo de Palma; Desarrollo de una Harina A Base de Torta Residual de Sacha Inchi con Adición de Microorganismos Probióticos Como Alternativa de Alimentación Humana; Detección de Sars-Cov-2 y Virus de la Hepatitis A en Aguas Residuales de la Ciudad de  Cúcuta Como Estrategia Predictiva de Brotes. Estudio Multicéntrico.; Determinación In Vitro de la Actividad Citotóxica y Acanthamoebicida de Moringa Oleifera, Myrcianthes Leucoxyla y Plukenetia Volubilis; Estudio Comparativo de Dos Biomasas Agroindustriales en la Producción de Syngas Mediante Gasificación A Escala Piloto; Evaluación de la Actividad Antibacteriana "In Vitro" de los Aceites Esenciales de Mentha Spicata, Origanum Vulgare, Ruta Chalepensis, Moringa Oleifera en Tres Municipios de Norte de Santander; Evaluación de la Influencia de las Variaciones Climáticas y Altitudinales en la Calidad de la Almendra de Sacha Inchi en el Departamento Norte de Santander; Evaluación de las Características Funcionales A Partir de Seis Prototipos de Mezclas  de Harinas de Semillas Promisorias con Adición de Probióticos.; Evaluación de los Impactos de la Pandemia Del Covid-19 en la Seguridad Agroalimentaria Del Departamento Norte de Santander Durante el Período 2020-2021; Evaluación Del Efecto de la Catálisis Química en la Producción de H2 por Gasificación Del Cuesco de Palma; Evaluación Del Potencial de Producción de Hidrógeno A Partir de Gasificación de Biomasa Residual de una Planta Extractora de Aceite de Palma en Norte de Santander; Fortalecimiento de los Procesos Estrategicos, Operativos y de Apoyo de la Asociación de Recicladores Emprendedores de Norte de Santander Arenorte en la Ciudad de Cúcuta ; Identificación de los Factores Ambientales y Climáticos Asociados A la Ocurrencia de Conglomerados Espacio-Temporales de Leptospirosis en Colombia Durante la Última Década.; Inversión en Innovación Como Impulsor Sostenible Del Crecimiento Económico y el Progreso: Análisis Econométrico Del Sector Manufacturero para el Departamento de Norte de Santander; Mejoramiento de la Superficie de Rodadura en Vías  Terciarias en Afirmado con un Tratamiento de Fibras de Tereftalato de Polietileno (Pet); Modelamiento de Btx por Emisiones Vehiculares en Zonas Estratégicas Del Municipio de Cúcuta con Mediciones de Módulos Electrónicos de Bajo Costo Basado en Ia; Optimización de la Distribución de Instalaciones con Áreas Desiguales Utilizando Algoritmos Metaheurísticos Aplicado A una Empresa Del Sector de la Moda en Cúcuta; Participación de las Mujeres Rurales en Agronegocios en los Departamentos de Norte de Santander, Santander y el Cesar; Participación de Mujeres Rurales en Agronegocios en el Departamento Norte de Santander; Proyecto Prueba Cvudes; Validación de Acciones de Intervención de Desarrollo Social Comunitario y Factores Ambientales Influyentes en Población Femenina Migrante Del Asentamiento el Talento de la Ciudad de Cúcuta; Validación de Acciones de Intervención de Desarrollo Social Comunitario y Factores Ambientales Influyentes en Población Femenina Migrante Del Asentamiento el Talento de la Ciudad de Cúcuta Norte de Santander</t>
  </si>
  <si>
    <t xml:space="preserve"> Administración y Gestión    ; Desarrollo Sostenible y Responsabilidad Social    ; Procesos y Produccion    </t>
  </si>
  <si>
    <t xml:space="preserve"> Visionarios </t>
  </si>
  <si>
    <t>EUREKA DE INGENIERIA INDUSTRIAL UDES</t>
  </si>
  <si>
    <t>Ciencias de la Educación</t>
  </si>
  <si>
    <t>Educación General</t>
  </si>
  <si>
    <t xml:space="preserve">
Adriana Rocio Lizcano Dallos ( Colider de grupo de investigación - Activo)  || 
Ana Maria Aparicio Franco ( Investigador - Activo)  || 
Beatriz Elena Giraldo Tobon ( Coinvestigador udes - Activo)  || 
Eliécer  Pineda Ballesteros ( Investigador - Activo)  || 
Elsa Cristina Arenas Martinez ( Investigador - Activo)  || 
Félix Andrés Restrepo Bustamante ( Investigador - Activo)  || 
Gladys Patricia Torres Murillo ( Investigador - Activo)  || 
Guillermo  Bejarano Reyes ( Investigador - Activo)  || 
Irlesa Indira Sanchez Medina ( Investigador - Activo)  || 
Javier Ernesto Moreno Gualdron ( Investigador - Activo)  || 
Jorge Eliécer Zabala Vargas   ( Investigador - Activo)  || 
Maribel  Avellaneda Nieves ( Investigador - Activo)  || 
Nestor  Anaya Chavez ( Investigador - Activo)  || 
Rafael Ricardo Mantilla Guiza ( Investigador - Activo)  || 
Rosa Elvia Quintero Guasca ( Investigador - Activo)  || 
Ruth Mira Gonzalez Neira ( Investigador - Activo)  || 
Sergio Andrés  Zabala Vargas  ( Investigador - Activo) </t>
  </si>
  <si>
    <t>ELIÉCER  PINEDA BALLESTEROS</t>
  </si>
  <si>
    <t xml:space="preserve"> Doctorado; Especialización Universitaria; Maestría; Universitaria</t>
  </si>
  <si>
    <t xml:space="preserve"> Clubes de estudio STEAM para la resolución de problemas mediante representaciones múltiples, tecnología educativa y enfoque de género.; Consolidación de Estrategias Virtuales de Bienestar Institucional Aplicadas A la Comunidad Educativa de la Udes Desde la Perspectiva de la Responsabilidad Social Universitaria.; Del Arte y el Implic-Arte: Interactividad en los Procesos Pedagógicos; Del Arte y el Iplic-Arte_ Interactividad en los Procesos Pedagógicos; Desarrollo de Competencias Stem, Aplicando Estrategias Mediadas por Tic en Estudiantes de Educación Basica y Media en Colombia; Diseño de un Marco de Trabajo Como Guía en la Identificación de Metodologías de Investigación por Medio de Herramientas Tecnológicas Que Le Permitan Su Organización y Gestión; Diseño Instruccional Incorporando las Tecnologías para el Empoderamiento y la Participación - Tep y Su Relación con el Proceso de Enseñanza para el Fortalecimiento de Competencias Ciudadanas en Estudiantes de la Básica y Media. ; El Juego Como Estrategia Didáctica para la Comprensión Lectora en Educación Inicial y Básica Primaria. Análisis de la Praxis en Chile y Colombia; El Uso de Simuladores en el Aula, una Mirada Desde los Proyectos de Investigación Formativa Del Programa Mgte-Udes-Colombia; Entornos de Aprendizaje Seguros e Inclusivos en Áreas Steam para Propiciar la Igualdad de Género en Procesos de Enseñanza y Aprendizaje de Calidad en Instituciones Educativas Colombianas; Entornos Seguros, Inclusivos y Accesibles Mediados por  Tecnologías Emergentes; Entornos Seguros, Inclusivos y Accesibles Mediados por Tecnologías Emergentes; Estrategias de Aprendizaje Basado en Problemas con Simuladores, un Reto para Investigadores en Formación.; Estrategias Virtuales Aplicadas Al Fortalecimiento Del Bienestar Universitario de la Comunidad Educativa de los Programas Del Campus Virtual Udes – Cvudes; Fortalecimiento de la Educación Inclusiva en los Docentes de las Instituciones Educativas Oficiales de Colombia ; Gestión, Evaluación y Fortalecimiento de Actividades Virtuales de Bienestar Institucional; Impacto de la Contabilidad Social en los Modelos de Negocios Empresariales; Implementación de un Marco de Trabajo Mediado por la Gamificación y la Neurodidáctica para el Fortalecimiento de Habilidades Investigativas en Estudiantes de Posgrado.; Inclusión de Población con Dificultad de Aprendizaje en el Desarrollo de Competencias Enfatizando Factores Etnográficos y Metodológicos Mediados por Espacios Inteligentes.; La Contabilidad Social y Su Impacto en el Modelo de Negocios Empresariales; Metodología de Evaluación de Competencias Digitales en Primaria, Secundaria y Media; Pensamiento Computacional en el Ámbito Educativo ; Propuesta de Lineamientos Educativos para la Promoción Del Pensamiento Sistémico en Estudiantes de Ciencias Naturales en Educación Básica - Fase 1.; Proyecto Prueba Cvudes; Recursos Educativos Digitales en el Aprendizaje Basado en Proyectos: Análisis de la Mediación Didáctica con Tecnologías Digitales para el Mejoramiento y la Innovación en Educación Aprobado.; Relación Entre las Planeaciones Didácticas y el Nivel de Competencias Estudiantiles en Básica y Media: Enfoque en Inteligencias Múltiples y Tecnologías Digitales; Tecnología Educativa Aplicada para el Desarrollo Del Pensamiento Computacional en Instituciones Educativas de Colombia.; Transformación Digital en la Educación Colombiana: Desafíos y Oportunidades en la Implementación de la Inteligencia Artificial para el Desarrollo Del Pensamiento Computacional; Validación de la Propuesta Curricular para el Desarrollo de Competencias de Pensamiento Computacional con Maestros en Ejercicio Y/O en Formación de Básica Primaria.</t>
  </si>
  <si>
    <t xml:space="preserve"> Evaluación de Medios y Procesos en Organizaciones de Educación    ; Incorporación Tic en el Proceso de Enseñanza Aprendizaje    ; Incorporación Tic y Su Impacto en la Imagen Organizacional Educativa    </t>
  </si>
  <si>
    <t xml:space="preserve"> Comunic-Acción</t>
  </si>
  <si>
    <t>GRAVATE - GRUPO DE INVESTIGACION EN AMBIENTES VIRTUALES DE APRENDIZAJE Y TECNOLOGIA EDUCATIVA</t>
  </si>
  <si>
    <t xml:space="preserve"> Unidad: Centro de Formación en Tecnologías</t>
  </si>
  <si>
    <t xml:space="preserve">
Carlos Andres Perez Boada ( Investigador principal udes - Activo)  || 
Carlos Eduardo Moreno Uribe ( Investigador - Activo)  || 
Claudia Jazmin Galeano Barrera ( Investigador - Activo)  || 
Diana Marcela Figueroa Quiroga ( Investigador - Activo)  || 
Edinson Javier Velandia Plata ( Lider de grupo de investigación - Activo)  || 
Edwin Fabian Restrepo Rojas ( Investigador - Activo)  || 
German Horacio Jimenez Pinilla ( Investigador - Activo)  || 
Ginna Marcela Herrera Torres ( Investigador - Activo)  || 
Grethel Alexandra María Flórez Sierra ( Investigador - Activo)  || 
Johana  Rojas Sierra ( Investigador - Activo)  || 
Jonathan Stiven Tordecilla Meza ( Investigador - Activo)  || 
José Alirio Soto Ortegón ( Investigador - Activo)  || 
Juan Camilo Jerez Gómez ( Investigador - Activo)  || 
Juan Francisco Sánchez Franco ( Investigador - Activo)  || 
Karen Andrea Torrado Verjel ( Investigador - Activo)  || 
Krystle Katherinne Forero Pedroza ( Investigador - Activo)  || 
Laura Juliana Niño Villamizar ( Investigador - Activo)  || 
Luis Carlos Tiria Sandoval ( Colider de grupo de investigación - Activo)  || 
Marlene  Esteban Mendoza ( Investigador - Activo)  || 
Martha Carolina Del Rio Chaustre ( Investigador - Activo)  || 
Pablo Andres Perez Gutierrez ( Investigador - Activo)  || 
Sandra Milena Gómez Plata ( Investigador - Activo)  || 
Yenny Paola Vega Pedraza ( Investigador - Activo) </t>
  </si>
  <si>
    <t>Edinson Javier Velandia Plata</t>
  </si>
  <si>
    <t xml:space="preserve"> “creactiva: un Acercamiento Al Imaginario de los Jóvenes en el Sector Rural Santandereano” Espacio para la Revalorización de lo Patrimonial A Partir Del Diseño; Apropiación Social Del Patrimonio Cultural Del Museo Arqueológico de la Universidad de Santander; Arte, Memoria y Territorio en las Prácticas Del Turismo Comunitario Urbano, Caso Barrio Morrorico de la Ciudad de Bucaramanga; Campaña Educativa Dirigida Al Personal de la Salud, Enfocada en el Control de las Infecciones Intrahospitalarias ; Caracterización Física, Química y Microbiológica de Compuestos Causantes Del Grado de Biodeterioro en Edificaciones Antiguas y Posibles Bienes de Interés Cultural en la Ciudad de Bucaramanga; Concreto con Agregado de Caucho Expuesta A Ondas de Sonido para Reducir el Nivel de Intensidad Sonora Al Propagarse A Través Del Concreto; Conjunto de Datos Multipropósito sobre Espacio Público, Movilidad y Bienes de Interés Cultural de Bucaramanga y su Área Metropolitana para Aplicaciones en Inteligencia Artificial ; Conjunto de datos sobre percepción ciudadana y gestión de residuos en el centro de Bucaramanga, para su utilización en Inteligencia Artificial; Consolidación de Estrategias Virtuales de Bienestar Institucional Aplicadas A la Comunidad Educativa de la Udes Desde la Perspectiva de la Responsabilidad Social Universitaria.; Curaduría y anotación semántica de un dataset geoespacial 3D del Campus UDES para entrenar modelos de inteligencia artificial orientados a soluciones de infraestructura y sostenibilidad: un enfoque de Salud Planetaria.; Desarrollo de un Aplicativo Móvil para el Carné Virtual de Graduados de la Universidad de Santander; Desarrollo de un Modelo de Universidad Inteligente para la Gestión Sostenible e Incluyente Enfocada A la Dimensión Ambiental y Cultura Ciudadana, Aplicado en la Universidad de Santander Udes de la Ciudad de Bucaramanga- Colombia; Desarrollo de un Modelo Productivo de Probióticos para la Industria Avícola Integrando Herramientas de Lean Manufacturing, con el Fin de Optimizar el Proceso de Producción y Evaluar el Impacto Ambiental Asociado.; Desarrollo de una Estrategia de Promoción de la Riqueza Cultural, Patrimonial y Productiva Del Sector de la Guayaba y Su Agroindustria en Relación A Su Denominación de Origen Protegida Del Bocadillo Veleño.; Diseño de Estrategias de Enseñanza-Aprendizaje Inclusivas para Estudiantes con Discapacidad Auditiva en la Universidad de Santander; Diseño de la Infraestructura para el Sistema de Aprovechamiento de Aguas Lluvias para Riego de Jardines, Lavado de Pisos Externos y Uso en Sanitarios en la Universidad de Santander Campus Lagos Del Cacique; Diseño de la Infraestructura para el Sistema de Aprovechamiento de Aguas Lluvias para Riego de Jardines, Lavado de Pisos Externos y Uso en Sanitarios, Incluyendo un Sistema de Captación en Piso, en la Universidad de Santander Campus Lagos Del Cacique.; Diseño de un Marco de Trabajo Como Guía en la Identificación de Metodologías de Investigación por Medio de Herramientas Tecnológicas Que Le Permitan Su Organización y Gestión; Diseño Sísmico de Muros No Estructurales de Concreto con Reemplazo de Agregados por Grano de Caucho Reciclado; El Diseño Universal en las Edificaciones de las Instituciones de Prestación de Servicios de Salud de Alta Complejidad Ubicadas en Bucaramanga y Área Metropolitana: Realidad o Utopía; Estrategia de Difusión de la Memoria Colectiva en Torno A las Prácticas Culturales de las Familias Cacaoteras Del Municipio de Lebrija -Santander Que Desarrollan la Agricultura Familiar.; Estrategias de Sostenibilidad Del Recurso Hídrico en Espacios de Co-Creación Comunitaria para la Conservación de Ecosistemas en la Provincia de Soto Norte. ; Estrategias Virtuales Aplicadas Al Fortalecimiento Del Bienestar Universitario de la Comunidad Educativa de los Programas Del Campus Virtual Udes – Cvudes; Estudio Sobre el Cambio en los Hábitos de Consumo Generado por la Presencia de Supermercados de Bajo Costo en la Ciudad de Bucaramanga y Su Área Metropolitana; Evaluación de la Amplificación Sísmica por Factores Topográficos en la Ciudad de Bucaramanga y Su Influencia en Fenómenos de Remoción en Masa; Evaluación de Nuevas Alternativas Terapéuticas A Partir de la Interrupción de los Sistemas de Comunicación (Quórum Sensing) de Patógenos Multidrogoresistentes Prevalentes en el Nororiente Colombiano y Divulgación de los Hallazgos A Personal de Salud, Mediante una Estrategia Educativa Digital.; Experiencia Inmersiva de Realidad Virtual Como Herramienta para la Visibilización de los Saberes y las Prácticas Productivas de las Comunidades Rurales de los Santos, Santander; Fanzine Ilustrado Como Plataforma de Expresión Crítica en Torno A la Relación Joven – Ciudad Desde Diversas Dimensiones Artísticas; Gestión, Evaluación y Fortalecimiento de Actividades Virtuales de Bienestar Institucional; Huellas del territorio: Desarrollo de embalajes con Materiales compostables a partir de saberes y recursos locales.; Identificación de Oportunidades de Desarrollo Territorial Agroindustrial Mediante la Protección de Propiedad Industrial: el Caso de la Denominación de Origen Protegida Del Bocadillo Veleño en Colombia; Implementación de un Marco de Trabajo Mediado por la Gamificación y la Neurodidáctica para el Fortalecimiento de Habilidades Investigativas en Estudiantes de Posgrado.; Kits Didácticos para Transferencia de Conocimientos Del Área Hidrosanitaria A Estudiantes Udes y Personal Del Sector de la Construcción; Mejoramiento de la Superficie de Rodadura en Vías  Terciarias en Afirmado con un Tratamiento de Fibras de Tereftalato de Polietileno (Pet); Metaanálisis de la Imagen de la Mujer y la Igualdad de Género en Medios de Comunicación Impreso de Circulación Diaria Del Oriente Colombiano .; Método Incluyente para Incentivar el Turismo Cultural A Través de una Herramienta Multimedia Interactiva en los Santos, Santander; Modelo de Gobernanza Inteligente Como Pilar para el Desarrollo de un Smart Campus; Modelo de Recuperación de la Carne de Codorniz de Aves de Desecho para la Producción de un Cárnico Procesado Apto para Consumo Humano.; Organismos Colonizadores Causantes Del Biodeterioro en los Puentes Vehiculares Construidos en Concreto Reforzado Presentes en la Ciudad de Bucaramanga y Sus Efectos Sobre la Resistencia de los Concretos; Participación de las Mujeres Rurales en Agronegocios en los Departamentos de Norte de Santander, Santander y el Cesar; Productos en bioelastomero termoplástico a partir de cáscaras de piña.; 'Raíces Del Páramo': Relatos de Prácticas Productivas Desarrolladas por Agricultores Familiares Del Municipio de Tona.; Re-Leyendo Artefactos: Puesta en Valor de Piezas Arqueológicas A Través de una Museográfica Participativa en la Universidad de Santander.; Ruta Virtual Del Cacao (Ruvica): Laboratorio Ciudadano Como Estrategia para la Promoción y Educación Del Turismo Sostenible en el Sector Cacaotero; Satisfacción de las Necesidades Del Cliente en el Sector Vivienda: Girón; Sistema de Monitoreo de las Variables Que Componen la Responsabilidad Social Universitaria Aplicada en un Smart Campus”.; Sistema para Uso de Agua Lluvia en el Colegio Alberto Santos Buitrago Sede e el Bosque, Del Socorro – Santander; Situación de Información Geográfica (Sig) de las Redes de Servicios Públicos, Como las Redes de Acueducto, Alcantarillado Sanitario y Pluvial, Redes de Gas, Redes Hidrosanitarias, Existentes Al Interior de la Universidad de Santander (Udes); Solidificación de Lodos Provenientes Del Agua Residual de la Industria de Lavado de Automotores para Uso en la Industria de la Construcción; Uso Alternativo Del Poliestireno Expandido Residual para la Creación de Pintura Impermeabilizante Hacia la Mitigación de Impactos Ambientales; Volumen de Agua Lluvia Aprovechable de Acuerdo con el Estudio Hidrológico A Realizar en la Univerisad de Santander</t>
  </si>
  <si>
    <t xml:space="preserve"> Imagen, Sociedad y Contexto    ; Materiales y Desarrollos Sostenibles en el Sector de la Construcción    </t>
  </si>
  <si>
    <t xml:space="preserve"> Bitácora; Frudes - Financial Research Udes; Glifos ; Imagine Monkey ; Semillero de Investigación Ágora; Semillero de Investigación de Supervisión de Obras Civiles; Semillero Ejemplo; Semillero Ejemplo 2024; Siga - Semillero de Investigación de Gestión Administrativa ; Tempus </t>
  </si>
  <si>
    <t>GRUPO DE DESARROLLO EXPERIMENTAL Y TECNOLOGICO - GEDETEC</t>
  </si>
  <si>
    <t xml:space="preserve">
Angela Marcela Ríos Delgado ( Coinvestigador udes - Activo)  || 
Armando Sofonías Muñoz Del Castillo ( Director de proyecto - Activo)  || 
Carolina  Aranda Ribon ( Investigador - Activo)  || 
Cesar Augusto Serrano Novoa ( Coinvestigador udes - Activo)  || 
Derly Roció Aldana Ahumada ( Coinvestigador udes - Activo)  || 
Diana Milena Pachón Franco ( Coinvestigador udes - Activo)  || 
Efrain Hernando Pinzon Reyes ( Colider de grupo de investigación - Activo)  || 
Elba Viviana Rueda Ordoñez ( Lider de grupo de investigación - Activo)  || 
Gil  Lorduy Castro ( Coinvestigador udes - Activo)  || 
Harold  Valle Fuentes ( Coinvestigador udes - Activo)  || 
Hedilka Judith Jimenez Rios ( Coinvestigador udes - Activo)  || 
Hilda Clemencia Esquivel Martinez ( Investigador principal udes - Activo)  || 
Jaime Enrique Martínez Silva ( Coinvestigador udes - Activo)  || 
Johana  Gutiérrez Zehr ( Coinvestigador udes - Activo)  || 
Jorge Luis Escobar Reynel ( Coinvestigador udes - Activo)  || 
Jose de Jesus Nuñez Rodriguez ( Coinvestigador udes - Activo)  || 
Jose Vicente Sanchez Frank ( Coinvestigador udes - Activo)  || 
Juan Carlos Salazar Losada ( Coinvestigador udes - Activo)  || 
Julio Cesar Carvajal Rodriguez ( Coinvestigador udes - Activo)  || 
Karen Rocío Vega Manrique ( Coinvestigador udes - Activo)  || 
Lena Paulina Tamayo Lopez ( Coinvestigador udes - Activo)  || 
Lennin Yasmin López Chaparro ( Coinvestigador udes - Activo)  || 
Lina Marie Mejía Paez ( Investigador - Activo)  || 
Lucy  Otero Rodríguez ( Coinvestigador udes - Activo)  || 
Luz Delia Osorio  ( Coinvestigador udes - Activo)  || 
Maria Bernarda Molina Araujo ( Coinvestigador udes - Activo)  || 
Maria Luz Pérez Lancheros ( Coinvestigador udes - Activo)  || 
Maria Susel Tabares Sánchez ( Coinvestigador udes - Activo)  || 
Milena Paola Maiguel Villalba ( Coinvestigador udes - Activo)  || 
Myriam  Báez Sepúl ( Coinvestigador udes - Activo)  || 
Omar Camilo Mejía Ardila ( Coinvestigador udes - Activo)  || 
Paul Andrés Ospina Marín ( Coinvestigador udes - Activo)  || 
Paulo César Salgado Díaz ( Coinvestigador udes - Activo)  || 
Reinaldo  Martínez Luna ( Coinvestigador udes - Activo)  || 
Rosa Maribell Galeano Quintero ( Coinvestigador udes - Activo)  || 
Sandra Milena Merchan Rubiano ( Coinvestigador udes - Activo)  || 
Sandra Patricia Ochoa Guevara ( Director de proyecto - Activo)  || 
Zulmary Carolina Nieto Sanchez ( Coinvestigador udes - Activo) </t>
  </si>
  <si>
    <t>ELBA VIVIANA RUEDA ORDOÑEZ</t>
  </si>
  <si>
    <t xml:space="preserve"> Maestría; Tomado Desde Orcid, No Asociado por Investigador</t>
  </si>
  <si>
    <t xml:space="preserve"> Apropiación de las Formas Del Ser, Estar, Tener y Hacer de las Comunidades Aid Del Embalse Topocoro. ; Aura 3.0: Aulas Universales-Dua 3.0 con Recursos Inmersivos Abiertos para  el Fortalecimiento de las Prácticas Docentes en el Ámbito Colombiano  ; Campaña Educativa Dirigida Al Personal de la Salud, Enfocada en el Control de las Infecciones Intrahospitalarias ; Clasificación de Recursos Digitales Aplicados A la Educación para el Desarrollo de Habilidades Del Pensamiento Creativo en Estudiantes de la Media y Secundaria.; Cualificación Docente en el Diseño de Planes Individuales de Ajustes Razonables (Piar) Escuela Normal Superior de Bucaramanga; Del Arte y el Implic-Arte A Partir de la Sostenibilidad y el Desarrollo de Pensamiento; Del Arte y el Iplic-Arte_ Interactividad en los Procesos Pedagógicos; Derecho Ambiental y Biodiversidad, Um Análisis de la Pertinencia de la Legislación Colombiana Desde el Enfoque de Especies Amenazadas y Su Hábitat Crítico Frente Al Impacto Del Cambio Climático en E; Desarrollo Del Aprendizaje Autónomo en Estudiantes de Educación Básica y Media de las Instituciones Educativas Públicas Del País A Través Aplicaciones Móviles Educativas Asistidas por Tecnologías 4.0 ; Diseño de un Observatorio Agropecuario Del Cambio Climático en el Departamento Norte de Santander (Oacc)”.; Diseño e Implementación de un Programa de Educación Emocional en Niños, Niñas y Adolescentes de 9 A 13 Años Del Colegio Hispanoamericano de la Ciudad de Valledupar Cesar, en el Marco Del Desarrollo de Competencias Ciudadanas; Diseño y Desarrollo de Aplicaciones Móviles para el Mejoramiento Del Proceso Enseñanza Aprendizaje en las Instituciones Educativas Públicas Del País.; Ejemplo1; El Juego Como Estrategia Didáctica para la Comprensión Lectora en Educación Inicial y Básica Primaria. Análisis de la Praxis en Chile y Colombia; Estrategias de Actualizacion y Nivelacion de las Competencias Matematicas de los Estudiantes de Recien Ingreso A Traves de la Plataforma Khan Academy; Estrategias de Aprendizaje Experiencial con Realidad Aumentada para el Fortalecimiento Del Desarrollo Integral en la Infancia de Instituciones Educativas Colombianas; Estrategias Didácticas Desde el Diseño Universal para el Aprendizaje, Mediadas por Realidad Aumentada para el Fortalecimiento de la Competencia Comunicativa en la Educación Inicial y Básica Primaria; Estrategias en Inteligencia Artificial para el Desarrollo de Habilidades Del Pensamiento Creativo; Estrategias para Incorporar la Cerámica de Cácota en las Políticas de la Economía Naranja, Como un Patrimonio Cultural de Norte de Santander; Evaluación de la Influencia de las Variaciones Climáticas y Altitudinales en la Calidad de la Almendra de Sacha Inchi en el Departamento Norte de Santander; Evaluación de Nuevas Alternativas Terapéuticas A Partir de la Interrupción de los Sistemas de Comunicación (Quórum Sensing) de Patógenos Multidrogoresistentes Prevalentes en el Nororiente Colombiano y Divulgación de los Hallazgos A Personal de Salud, Mediante una Estrategia Educativa Digital.; Imaginar: Diseño de Experiencias Inmersivas Educativas Desde la Inmersión Imaginativa para el Fortalecimiento de Competencias en Estudiantes de Básica y Media de Instituciones Educativas Colombianas.; Influencia Del Desarrollo de los Reflejos en el Aprendizaje de la Primera Infancia Desde Experiencias de Maestros y Profesores Universitarios.   ; Inversión en Innovación Como Impulsor Sostenible Del Crecimiento Económico y el Progreso: Análisis Econométrico Del Sector Manufacturero para el Departamento Del Cesar; Narrativas Aborigenes Barí Como Insumo en la Construción de Estratgias Pedagógicas para Mitigar el Impacto Del Cambio Climático, Norte de Santander Colombia.; Pensamiento Computacional en el Ámbito Educativo ; Prácticas y Saberes de Maestras y Maestros de Educación Inicial en Contextos de Conflicto Armado Interno en Santander y Tolima; Programa Sensorial en Impacto Al Desarrollo Integral Dirigido A los Niños de 0 A 3 Años Del Centro de Desarrollo Infantil Cdi Nuevo Amanecer de la Ciudad de Cúcuta, Norte de Santander; Propuesta Educativa de Indagación y Tecnología Inmersiva para el Fortalecimiento de las Competencias Laborales Generales en Estudiantes de Educación Media de Colombia; Propuesta Indagar: Propuesta Didáctica de Indagación Mediada por Tecnología 360 para el Fortalecimiento de Competencias Científicas en Estudiantes de Básica en Colombia; Propuesta Practicar: Prácticas Pedagógicas Mediadas por Gamificación Inmersiva para el Fortalecimiento de Competencias Tecnológicas en Docentes de Instituciones Colombianas; Relación Del Rendimiento Académico y los Resultados de Pruebas Saber Pro en Estudiantes de Ingeniería Industrial en la Universidad de Santander Udes Valledupar; Resignificación de los Imaginarios Culturales Rurales para la Construcción de Acciones Pedagógicas Encaminadas A la Regeneración de la Biodiversidad y la Cuenca Hídrica Del Rio Pamplonita en el Municipio de Bochalema Norte de Santander; Steam Como Estrategia Pedagógica para Fortalecer Habilidades Socioemocionales en los Estudiantes de Básica Secundaria; Validación de la Propuesta Curricular para el Desarrollo de Competencias de Pensamiento Computacional con Maestros en Ejercicio Y/O en Formación de Básica Primaria.; Validación de Rúbrica para Evaluación de la Práctica Clínica en Enfermería: Formación por Competencias Profesionales por Medio de Aula Extendida Moodle</t>
  </si>
  <si>
    <t xml:space="preserve"> Calidad Educativa e Internacionalización    ; Educación para los Cambios Sociales y Ambientales    ; Educación y Desarrollo en la Primera Infancia    ; Mediaciones Pedagógicas e Innovación Educativa    </t>
  </si>
  <si>
    <t xml:space="preserve"> Clímax; Cognitudes Lab</t>
  </si>
  <si>
    <t>Ciencias Agricolas</t>
  </si>
  <si>
    <t>Ciencias Veterinarias</t>
  </si>
  <si>
    <t>Medicina Veterinaria (035 - Bucaramanga)</t>
  </si>
  <si>
    <t xml:space="preserve">
Adriana Paola Páez Gutiérrez ( Investigador - Activo)  || 
Alvaro Ivan Niño Uribe ( Investigador - Activo)  || 
Daniela  Alvarado Vesga ( Investigador - Activo)  || 
Egberto  Rueda Garrido ( Tutor de semillero de investigación - Activo)  || 
Hector Javier Narvaez Bedoya ( Lider de grupo de investigación - Activo)  || 
Javier Enrique Vargas Bayona ( Investigador - Activo)  || 
Jenny Alexandra Portillo Paba ( Investigador - Activo)  || 
Jessica Andrea Grosso Mojica ( Investigador - Activo)  || 
Juan Carlos Pinilla León ( Investigador - Activo)  || 
KAREN  DAYANA PRADA   MEJIA ( Investigador - Activo)  || 
Linda Patricia Rocha Muñoz ( Investigador - Activo)  || 
Luis Ernesto Quintero Rodriguez ( Tutor de semillero de investigación - Activo)  || 
Paola Yamile Hernandez Galvis ( Investigador - Activo)  || 
Pedro María Sanchez Arciniegas ( Investigador - Activo)  || 
Sandra Sofía Ruiz Díaz ( Investigador - Activo)  || 
Victor Gerardo Petro Hernandez ( Investigador - Activo) </t>
  </si>
  <si>
    <t>HECTOR JAVIER NARVAEZ BEDOYA</t>
  </si>
  <si>
    <t xml:space="preserve"> Asociación de los Niveles Plasmáticos de la Hormona Antimülleriana con la Población Folicular Antral y con la Fertilidad de Vacas Criollas de la Raza Chino Santandereano; Asociación Entre Cardiopatía Dilatada y la Exposición Previa A Trypanosoma Cruzi en Perros Domésticos Del Área Metropolitana de Bucaramanga; Caracterização de Diferentes Fenótipos para Consumo Alimentar Residual de Ovinos e Sua Relação Com A Produção de Metano, Características de Carcaça e Eficiência No Uso Da Água; Caracterización de Microorganismos Fitopatógenos y Endófitos Asociados Al Fruto de Mangifera Indica L. Cv. Keitt.  Cultivados en el  Departamento Del Cesar ; Caracterización Molecular y Biológica de Aislados de Trypanosoma Cruzi en Reservorios y Vectores Del Área Metropolitana de Bucaramanga ; Comparación Del Efecto de la Alimentación Convencional en Pollos de Engorde Frente A la Alimentación Convencional Suplementada con Mezclas de Bacterias con Potencial Probiótico en Variables Zootécnicas, Inmunes y Patológicas Intestinales.; Correlación Clínica de la Enfermedad de Cushing y el Análisis Histopatológico de la Glándula Pituitaria en el Caballo Criollo Colombiano; Dataset para un modelo predictivo y mapeo del riesgo de micoplasmosis canina en Colombia con inteligencia artificial; Detección de Patógenos Emergentes (Sars-Cov-2) y Re-Emergentes (Rickettsias) en Caninos Procedentes Del Área Metropolitana de Bucaramanga.; Determinación de Genes Expresados Diferencialmente en la Implantación y Su Asociación en la Gestación y Pérdida de la Preñez en Programas de Transferencia de Embriones ; Determinación de la Presencia de Cryptococcus Neoformans y C. Gattii en Muestras Ambientales y Veterinarias en los Municipios de Bucaramanga y Cúcuta; Determinación de la Presencia de Toxoplasma Gondii en Carne para Consumo Humano en la Zona Metropolitana de Bucaramanga.; Determinación de la Prevalencia de Serovares de Salmonella Spp en Huevo para Consumo Humano; Determinación de la Seroprevalencia de Toxoplasma Gondii en Felinos de la Ciudad de Bucaramanga; Diagnóstico y Hoja de Ruta para la Transformación de los Sistemas Alimentarios A Partir Del Enfoque Folu: Area Demostrativa de Santander; Diagnóstico y Hoja de Ruta para la Transformación de los Sistemas Alimentarios de Santander A Partir Del Enfoque Folu; Eficiencia de la Técnica de Aspiración Foliculiar Guiada por Ultrasonografía en Vacas de la Raza Criolla Chino Santandereano; Estrategias de Mejoramiento Genético en la Raza Criolla Bovina Chino Santandereano A Través de la Asociación Del Gen Bola Drb 3.2 con Elvirus de Leucosis Bovina en el Departamento de Santander.; Estudio Epidemiológico de Infecciones Virales, Bacterianas y Parasitarias en Regiones Ganaderas de Doble Propósito de Colombia; Evaluación de Sistemas de Producción para la Seguridad Alimentaria de Familias de Economía Campesina en Condiciones de Clima Cálido – Cdt Sabana de Torres; Evaluación de Sistemas Productivos Agrícolas para la Seguridad Alimentaria de Familias de Economía Campesina en Condiciones de Clima Cálido; Expresión Génica de la Hormona Antimülleriana en Células de la Granulosa y Ovocitos de Vacas de la Raza Criolla Chino Santandereano; Factores de Riesgo Asociados A la Presentación de Pérdidas de Gestación en Bovinos; Factores de Riesgo Asociados A la Presentación de Pérdidas de Gestación en Bovinos; Mejoramiento de la Viabilidad Embrionaria y Aumento Del Porcentaje de Preñez en Programas de Transferencia de Embriones Bovinos Producidos In Vitro Mediante la Adición de un Agonista (L-165041) Del Receptor  Proliferador de Peroxisomas Delta-Ppard en los Medios de Cultivo Embrionario; Obtención de un Biofertilizante A Partir Del Biochar de Cápsulas y Cáscaras de Sacha Inchi (Plukenetia Volubilis L.) y un Consorcio Microbiano Pgpm; Participación de las Mujeres Rurales en Agronegocios en el Departamento de Santander; Prevalencia de Fasciola Hepatica en Equinos de Colombia; Prevalencia y Factores de Riesgo de las Zoonosis Parasitarias en Criaderos de Cerdos Traspatio Del Área Metropolitana de Bucaramanga.; Prevalencia y Posibles Factores de Riesgo Zoonótico de Leishmania Spp. y Dirofilaria Immitis en Albergues Caninos y Áreas Adyacentes Ubicados en Bucaramanga y Barrancabermeja.; Seroprevalencia de Fasciola Hepatica en el Municipio de Sabana Torres, Santander; Seroprevalencia de Fasciolosis en el Municipio de Encino, Santander</t>
  </si>
  <si>
    <t xml:space="preserve"> Calidad e Inocuidad    ; Salud Pública    ; Sanidad y Producción Animal    ; Sistemas Productivos Sostenibles    ; Zoonosis y Salud Pública    </t>
  </si>
  <si>
    <t xml:space="preserve"> Centro de Estudios en Ciencias y Tecnología Avícola; Inmuno - Infecto ; Museo Anatómico Veterinario; Reproduce; Semillero de Estudio y Fomento Equino; Semillero de Investigación de Medicina Interna Veterinaria; Semillero de Investigación en Clínica y Zoonosis; Semillero de Investigación en Reproducción y Salud Animal; Semillero de Investigación Laboratorio Clínico Veterinario ; Semillero de Ivestigación: Hafi; Semillero Investigación en Ciencias Veterinarias; Siag - Semillero de Investigación en Agronomía; Siamev; Sipaudes</t>
  </si>
  <si>
    <t>GRUPO DE INVESTIGACION EN CIENCIAS AGROPECUARIAS</t>
  </si>
  <si>
    <t>Cuartil</t>
  </si>
  <si>
    <t>Sin capacidad</t>
  </si>
  <si>
    <t>% Sin capacidad</t>
  </si>
  <si>
    <t>BIOMOL</t>
  </si>
  <si>
    <r>
      <rPr>
        <b/>
        <sz val="11"/>
        <color theme="1"/>
        <rFont val="Calibri"/>
        <family val="2"/>
        <scheme val="minor"/>
      </rPr>
      <t xml:space="preserve">Autores: </t>
    </r>
    <r>
      <rPr>
        <sz val="11"/>
        <color theme="1"/>
        <rFont val="Calibri"/>
        <family val="2"/>
        <scheme val="minor"/>
      </rPr>
      <t>Pablo César Prada Luna, Francisco Javier León, César Augusto Serrano Novoa, Miguel Oswaldo Pérez Pulido</t>
    </r>
  </si>
  <si>
    <r>
      <rPr>
        <b/>
        <sz val="11"/>
        <color theme="1"/>
        <rFont val="Calibri"/>
        <family val="2"/>
        <scheme val="minor"/>
      </rPr>
      <t xml:space="preserve">Fuente: </t>
    </r>
    <r>
      <rPr>
        <sz val="11"/>
        <color theme="1"/>
        <rFont val="Calibri"/>
        <family val="2"/>
        <scheme val="minor"/>
      </rPr>
      <t>Datos extraídos de los perfiles de los grupos de investigación de la Universidad de Santander registrados en la plataforma SCienTI-Colombia del Ministerio de Ciencia, Tecnología e Innovación (Minciencias), correspondientes al Modelo de Medición de Grupos de Investigación, Desarrollo Tecnológico o de Innovación y de Reconocimiento de Investigadores del SNCTI – Convocatoria 894 de 2021 y actualización metodológica 2024.</t>
    </r>
  </si>
  <si>
    <r>
      <rPr>
        <b/>
        <sz val="11"/>
        <color theme="1"/>
        <rFont val="Calibri"/>
        <family val="2"/>
        <scheme val="minor"/>
      </rPr>
      <t>Procedimiento de extracción de información:</t>
    </r>
    <r>
      <rPr>
        <sz val="11"/>
        <color theme="1"/>
        <rFont val="Calibri"/>
        <family val="2"/>
        <scheme val="minor"/>
      </rPr>
      <t xml:space="preserve"> La extracción de información de los perfiles GrupLAC se realizó mediante técnicas de web scraping utilizando el entorno de programación R versión 4.3.1 (R Core Team, 2023) y las librerías rvest versión 1.0.4, httr versión 1.4.7 y xml2 versión 1.3.6.</t>
    </r>
  </si>
  <si>
    <r>
      <rPr>
        <b/>
        <sz val="11"/>
        <color theme="1"/>
        <rFont val="Calibri"/>
        <family val="2"/>
        <scheme val="minor"/>
      </rPr>
      <t xml:space="preserve">Fuente complementaria: </t>
    </r>
    <r>
      <rPr>
        <sz val="11"/>
        <color theme="1"/>
        <rFont val="Calibri"/>
        <family val="2"/>
        <scheme val="minor"/>
      </rPr>
      <t>Sistema Integrado de Gestión de la Investigación e Innovación – SIGIIP-UDES.</t>
    </r>
  </si>
  <si>
    <r>
      <rPr>
        <b/>
        <sz val="11"/>
        <color theme="1"/>
        <rFont val="Calibri"/>
        <family val="2"/>
        <scheme val="minor"/>
      </rPr>
      <t>Fecha:</t>
    </r>
    <r>
      <rPr>
        <sz val="11"/>
        <color theme="1"/>
        <rFont val="Calibri"/>
        <family val="2"/>
        <scheme val="minor"/>
      </rPr>
      <t xml:space="preserve"> La información fue consultada y descargada entre enero y marzo de 2025.</t>
    </r>
  </si>
  <si>
    <t>Perfil de Producción del Resultado de Actividades de Generación de Nuevo Conocimiento</t>
  </si>
  <si>
    <t>Perfil de Integrantes</t>
  </si>
  <si>
    <t>Perfil de Colaboración</t>
  </si>
  <si>
    <t>Perfil de Producción del Resultado de Actividades de Desarrollo Tecnológico e Innovación</t>
  </si>
  <si>
    <t>Perfil de Producción del Resultado de Actividades de Apropiación Social del Conocimiento</t>
  </si>
  <si>
    <t>Perfil de Producción de Actividades Relacionadas con la Formación de Recurso Humano</t>
  </si>
  <si>
    <t>Perfil de Producción del Resultado de Actividades de Divulgación Pública de la Ciencia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</si>
</sst>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rgb="FF4D4D4D"/>
      <name val="Calibri"/>
      <family val="2"/>
      <scheme val="minor"/>
    </font>
    <font>
      <sz val="11"/>
      <color theme="1"/>
      <name val="Calibri"/>
      <family val="2"/>
      <scheme val="minor"/>
    </font>
    <font>
      <b/>
      <sz val="11"/>
      <color theme="1"/>
      <name val="Calibri"/>
      <family val="2"/>
      <scheme val="minor"/>
    </font>
    <font>
      <b/>
      <sz val="11"/>
      <color rgb="FF4D4D4D"/>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0" fontId="0" fillId="2" borderId="1" xfId="0" applyFill="1" applyBorder="1" applyAlignment="1">
      <alignment horizontal="center" vertical="center"/>
    </xf>
    <xf numFmtId="0" fontId="0" fillId="5" borderId="1" xfId="0" applyFill="1" applyBorder="1"/>
    <xf numFmtId="0" fontId="0" fillId="6" borderId="0" xfId="0" applyFill="1"/>
    <xf numFmtId="0" fontId="1" fillId="6" borderId="1" xfId="0" applyFont="1" applyFill="1" applyBorder="1" applyAlignment="1">
      <alignment horizontal="center" vertical="center"/>
    </xf>
    <xf numFmtId="0" fontId="0" fillId="6" borderId="1" xfId="0" applyFill="1" applyBorder="1"/>
    <xf numFmtId="0" fontId="0" fillId="6" borderId="1" xfId="0" applyFill="1" applyBorder="1" applyAlignment="1">
      <alignment horizontal="center"/>
    </xf>
    <xf numFmtId="0" fontId="0" fillId="6" borderId="1" xfId="0" applyFill="1" applyBorder="1" applyAlignment="1">
      <alignment horizontal="center" vertical="center"/>
    </xf>
    <xf numFmtId="0" fontId="0" fillId="6" borderId="0" xfId="0" applyFill="1" applyAlignment="1">
      <alignment horizontal="center"/>
    </xf>
    <xf numFmtId="0" fontId="0" fillId="2" borderId="1" xfId="0" applyFill="1" applyBorder="1"/>
    <xf numFmtId="9" fontId="0" fillId="2" borderId="1" xfId="1" applyFont="1" applyFill="1" applyBorder="1" applyAlignment="1">
      <alignment horizontal="center" vertical="center"/>
    </xf>
    <xf numFmtId="0" fontId="3" fillId="6"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3" xfId="0" applyFont="1" applyFill="1" applyBorder="1" applyAlignment="1">
      <alignment vertical="center"/>
    </xf>
    <xf numFmtId="0" fontId="3" fillId="6" borderId="1" xfId="0" applyFont="1" applyFill="1" applyBorder="1" applyAlignment="1">
      <alignment vertical="center"/>
    </xf>
    <xf numFmtId="0" fontId="3" fillId="6" borderId="0" xfId="0" applyFont="1" applyFill="1" applyAlignment="1">
      <alignment vertical="center"/>
    </xf>
    <xf numFmtId="0" fontId="0" fillId="6" borderId="0" xfId="0" applyFill="1" applyAlignment="1">
      <alignment horizontal="left" wrapText="1"/>
    </xf>
    <xf numFmtId="0" fontId="0" fillId="6" borderId="0" xfId="0" applyFill="1" applyAlignment="1">
      <alignment horizontal="left"/>
    </xf>
    <xf numFmtId="0" fontId="0" fillId="6" borderId="0" xfId="0" applyFill="1" applyAlignment="1">
      <alignment vertical="center"/>
    </xf>
    <xf numFmtId="0" fontId="0" fillId="4" borderId="1" xfId="0" applyFill="1" applyBorder="1" applyAlignment="1">
      <alignment horizontal="center" vertical="center"/>
    </xf>
    <xf numFmtId="0" fontId="0" fillId="7" borderId="1" xfId="0" applyFill="1" applyBorder="1" applyAlignment="1">
      <alignment horizontal="center" vertical="center"/>
    </xf>
    <xf numFmtId="0" fontId="0" fillId="2" borderId="1" xfId="0" applyFill="1" applyBorder="1" applyAlignment="1">
      <alignment horizontal="center" vertical="center"/>
    </xf>
    <xf numFmtId="0" fontId="0" fillId="8" borderId="1" xfId="0" applyFill="1" applyBorder="1" applyAlignment="1">
      <alignment horizontal="center" vertical="center" wrapText="1"/>
    </xf>
    <xf numFmtId="0" fontId="0" fillId="3" borderId="1" xfId="0" applyFill="1" applyBorder="1" applyAlignment="1">
      <alignment horizontal="center" vertical="center"/>
    </xf>
    <xf numFmtId="0" fontId="0" fillId="8" borderId="4" xfId="0" applyFill="1" applyBorder="1" applyAlignment="1">
      <alignment horizontal="center" vertical="center" wrapText="1"/>
    </xf>
    <xf numFmtId="0" fontId="0" fillId="8" borderId="5" xfId="0" applyFill="1" applyBorder="1" applyAlignment="1">
      <alignment horizontal="center" vertical="center" wrapText="1"/>
    </xf>
    <xf numFmtId="0" fontId="0" fillId="8" borderId="6" xfId="0" applyFill="1" applyBorder="1" applyAlignment="1">
      <alignment horizontal="center" vertical="center" wrapText="1"/>
    </xf>
  </cellXfs>
  <cellStyles count="2">
    <cellStyle name="Normal" xfId="0" builtinId="0"/>
    <cellStyle name="Porcentaje" xfId="1" builtinId="5"/>
  </cellStyles>
  <dxfs count="0"/>
  <tableStyles count="1" defaultTableStyle="TableStyleMedium2" defaultPivotStyle="PivotStyleLight16">
    <tableStyle name="Invisible" pivot="0" table="0" count="0" xr9:uid="{A767BBC5-B558-41E6-A6A7-24BEC973B89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A8AF8-AB60-4D9B-8D50-FDB57F49B81E}">
  <dimension ref="A1:BQ40"/>
  <sheetViews>
    <sheetView tabSelected="1" workbookViewId="0">
      <selection activeCell="BQ8" sqref="BQ8"/>
    </sheetView>
  </sheetViews>
  <sheetFormatPr baseColWidth="10" defaultColWidth="11.42578125" defaultRowHeight="15" x14ac:dyDescent="0.25"/>
  <cols>
    <col min="1" max="1" width="11.42578125" style="3"/>
    <col min="2" max="2" width="22" style="3" customWidth="1"/>
    <col min="3" max="28" width="13.42578125" style="3" customWidth="1"/>
    <col min="29" max="29" width="15.5703125" style="3" customWidth="1"/>
    <col min="30" max="30" width="13.42578125" style="3" customWidth="1"/>
    <col min="31" max="31" width="22.42578125" style="3" customWidth="1"/>
    <col min="32" max="32" width="13.42578125" style="3" customWidth="1"/>
    <col min="33" max="33" width="19.42578125" style="3" customWidth="1"/>
    <col min="34" max="34" width="23.28515625" style="3" customWidth="1"/>
    <col min="35" max="35" width="19.5703125" style="3" customWidth="1"/>
    <col min="36" max="36" width="17.42578125" style="3" customWidth="1"/>
    <col min="37" max="37" width="20.85546875" style="3" customWidth="1"/>
    <col min="38" max="46" width="13.42578125" style="3" customWidth="1"/>
    <col min="47" max="47" width="22.7109375" style="3" customWidth="1"/>
    <col min="48" max="48" width="27.85546875" style="3" customWidth="1"/>
    <col min="49" max="49" width="42.28515625" style="3" customWidth="1"/>
    <col min="50" max="50" width="37.85546875" style="3" customWidth="1"/>
    <col min="51" max="51" width="9.42578125" style="3" bestFit="1" customWidth="1"/>
    <col min="52" max="53" width="11.42578125" style="3"/>
    <col min="54" max="54" width="20.42578125" style="3" customWidth="1"/>
    <col min="55" max="59" width="11.42578125" style="3"/>
    <col min="60" max="60" width="29.28515625" style="3" customWidth="1"/>
    <col min="61" max="68" width="11.42578125" style="3"/>
    <col min="69" max="69" width="30.42578125" style="3" customWidth="1"/>
    <col min="70" max="16384" width="11.42578125" style="3"/>
  </cols>
  <sheetData>
    <row r="1" spans="1:69" x14ac:dyDescent="0.25">
      <c r="A1" s="3" t="s">
        <v>386</v>
      </c>
    </row>
    <row r="2" spans="1:69" ht="15" customHeight="1" x14ac:dyDescent="0.25">
      <c r="A2" s="3" t="s">
        <v>387</v>
      </c>
    </row>
    <row r="3" spans="1:69" x14ac:dyDescent="0.25">
      <c r="A3" s="18" t="s">
        <v>389</v>
      </c>
      <c r="B3" s="17"/>
      <c r="C3" s="17"/>
      <c r="D3" s="17"/>
      <c r="E3" s="17"/>
      <c r="F3" s="17"/>
      <c r="G3" s="17"/>
    </row>
    <row r="4" spans="1:69" ht="15" customHeight="1" x14ac:dyDescent="0.25">
      <c r="A4" s="3" t="s">
        <v>388</v>
      </c>
    </row>
    <row r="5" spans="1:69" x14ac:dyDescent="0.25">
      <c r="A5" s="3" t="s">
        <v>390</v>
      </c>
    </row>
    <row r="7" spans="1:69" s="19" customFormat="1" ht="75" x14ac:dyDescent="0.25">
      <c r="C7" s="20" t="s">
        <v>392</v>
      </c>
      <c r="D7" s="20"/>
      <c r="E7" s="20"/>
      <c r="F7" s="20"/>
      <c r="G7" s="20"/>
      <c r="H7" s="20"/>
      <c r="I7" s="20"/>
      <c r="J7" s="20"/>
      <c r="K7" s="20"/>
      <c r="L7" s="20"/>
      <c r="M7" s="20"/>
      <c r="N7" s="20"/>
      <c r="O7" s="20"/>
      <c r="P7" s="21" t="s">
        <v>393</v>
      </c>
      <c r="Q7" s="21"/>
      <c r="R7" s="22" t="s">
        <v>391</v>
      </c>
      <c r="S7" s="22"/>
      <c r="T7" s="22"/>
      <c r="U7" s="22"/>
      <c r="V7" s="22"/>
      <c r="W7" s="22"/>
      <c r="X7" s="22"/>
      <c r="Y7" s="22"/>
      <c r="Z7" s="22"/>
      <c r="AA7" s="22"/>
      <c r="AB7" s="22"/>
      <c r="AC7" s="21" t="s">
        <v>394</v>
      </c>
      <c r="AD7" s="21"/>
      <c r="AE7" s="21"/>
      <c r="AF7" s="21"/>
      <c r="AG7" s="21"/>
      <c r="AH7" s="23" t="s">
        <v>395</v>
      </c>
      <c r="AI7" s="25" t="s">
        <v>397</v>
      </c>
      <c r="AJ7" s="26"/>
      <c r="AK7" s="27"/>
      <c r="AL7" s="24" t="s">
        <v>396</v>
      </c>
      <c r="AM7" s="24"/>
      <c r="AN7" s="24"/>
      <c r="AO7" s="24"/>
      <c r="AP7" s="24"/>
      <c r="AQ7" s="24"/>
      <c r="AR7" s="24"/>
      <c r="AS7" s="24"/>
      <c r="AT7" s="24"/>
    </row>
    <row r="8" spans="1:69" s="16" customFormat="1" ht="105" x14ac:dyDescent="0.25">
      <c r="A8" s="11" t="s">
        <v>0</v>
      </c>
      <c r="B8" s="11" t="s">
        <v>1</v>
      </c>
      <c r="C8" s="12" t="s">
        <v>140</v>
      </c>
      <c r="D8" s="13" t="s">
        <v>2</v>
      </c>
      <c r="E8" s="13" t="s">
        <v>3</v>
      </c>
      <c r="F8" s="13" t="s">
        <v>4</v>
      </c>
      <c r="G8" s="13" t="s">
        <v>5</v>
      </c>
      <c r="H8" s="13" t="s">
        <v>6</v>
      </c>
      <c r="I8" s="13" t="s">
        <v>141</v>
      </c>
      <c r="J8" s="13" t="s">
        <v>7</v>
      </c>
      <c r="K8" s="13" t="s">
        <v>8</v>
      </c>
      <c r="L8" s="13" t="s">
        <v>9</v>
      </c>
      <c r="M8" s="13" t="s">
        <v>10</v>
      </c>
      <c r="N8" s="13" t="s">
        <v>11</v>
      </c>
      <c r="O8" s="13" t="s">
        <v>12</v>
      </c>
      <c r="P8" s="14" t="s">
        <v>13</v>
      </c>
      <c r="Q8" s="14" t="s">
        <v>14</v>
      </c>
      <c r="R8" s="13" t="s">
        <v>15</v>
      </c>
      <c r="S8" s="13" t="s">
        <v>16</v>
      </c>
      <c r="T8" s="13" t="s">
        <v>17</v>
      </c>
      <c r="U8" s="13" t="s">
        <v>142</v>
      </c>
      <c r="V8" s="13" t="s">
        <v>18</v>
      </c>
      <c r="W8" s="13" t="s">
        <v>19</v>
      </c>
      <c r="X8" s="13" t="s">
        <v>20</v>
      </c>
      <c r="Y8" s="13" t="s">
        <v>21</v>
      </c>
      <c r="Z8" s="13" t="s">
        <v>143</v>
      </c>
      <c r="AA8" s="13" t="s">
        <v>22</v>
      </c>
      <c r="AB8" s="13" t="s">
        <v>144</v>
      </c>
      <c r="AC8" s="13" t="s">
        <v>23</v>
      </c>
      <c r="AD8" s="13" t="s">
        <v>24</v>
      </c>
      <c r="AE8" s="13" t="s">
        <v>25</v>
      </c>
      <c r="AF8" s="13" t="s">
        <v>26</v>
      </c>
      <c r="AG8" s="13" t="s">
        <v>27</v>
      </c>
      <c r="AH8" s="13" t="s">
        <v>28</v>
      </c>
      <c r="AI8" s="13" t="s">
        <v>29</v>
      </c>
      <c r="AJ8" s="13" t="s">
        <v>30</v>
      </c>
      <c r="AK8" s="13" t="s">
        <v>31</v>
      </c>
      <c r="AL8" s="13" t="s">
        <v>32</v>
      </c>
      <c r="AM8" s="13" t="s">
        <v>33</v>
      </c>
      <c r="AN8" s="13" t="s">
        <v>34</v>
      </c>
      <c r="AO8" s="13" t="s">
        <v>35</v>
      </c>
      <c r="AP8" s="13" t="s">
        <v>36</v>
      </c>
      <c r="AQ8" s="13" t="s">
        <v>37</v>
      </c>
      <c r="AR8" s="13" t="s">
        <v>38</v>
      </c>
      <c r="AS8" s="13" t="s">
        <v>39</v>
      </c>
      <c r="AT8" s="13" t="s">
        <v>40</v>
      </c>
      <c r="AU8" s="15" t="s">
        <v>1</v>
      </c>
      <c r="AV8" s="15" t="s">
        <v>145</v>
      </c>
      <c r="AW8" s="15" t="s">
        <v>146</v>
      </c>
      <c r="AX8" s="15" t="s">
        <v>147</v>
      </c>
      <c r="AY8" s="15" t="s">
        <v>41</v>
      </c>
      <c r="AZ8" s="11" t="s">
        <v>49</v>
      </c>
      <c r="BA8" s="11" t="s">
        <v>42</v>
      </c>
      <c r="BB8" s="11" t="s">
        <v>148</v>
      </c>
      <c r="BC8" s="11" t="s">
        <v>149</v>
      </c>
      <c r="BD8" s="11" t="s">
        <v>150</v>
      </c>
      <c r="BE8" s="11" t="s">
        <v>151</v>
      </c>
      <c r="BF8" s="11" t="s">
        <v>152</v>
      </c>
      <c r="BG8" s="11" t="s">
        <v>43</v>
      </c>
      <c r="BH8" s="11" t="s">
        <v>153</v>
      </c>
      <c r="BI8" s="11" t="s">
        <v>44</v>
      </c>
      <c r="BJ8" s="11" t="s">
        <v>45</v>
      </c>
      <c r="BK8" s="11" t="s">
        <v>46</v>
      </c>
      <c r="BL8" s="11" t="s">
        <v>47</v>
      </c>
      <c r="BM8" s="11" t="s">
        <v>48</v>
      </c>
      <c r="BN8" s="11" t="s">
        <v>154</v>
      </c>
      <c r="BO8" s="11" t="s">
        <v>155</v>
      </c>
      <c r="BP8" s="11" t="s">
        <v>156</v>
      </c>
      <c r="BQ8" s="11" t="s">
        <v>157</v>
      </c>
    </row>
    <row r="9" spans="1:69" x14ac:dyDescent="0.25">
      <c r="A9" s="5" t="s">
        <v>50</v>
      </c>
      <c r="B9" s="5" t="s">
        <v>51</v>
      </c>
      <c r="C9" s="4" t="s">
        <v>52</v>
      </c>
      <c r="D9" s="4" t="s">
        <v>52</v>
      </c>
      <c r="E9" s="4" t="s">
        <v>52</v>
      </c>
      <c r="F9" s="4" t="s">
        <v>52</v>
      </c>
      <c r="G9" s="4" t="s">
        <v>53</v>
      </c>
      <c r="H9" s="4" t="s">
        <v>53</v>
      </c>
      <c r="I9" s="4" t="s">
        <v>54</v>
      </c>
      <c r="J9" s="4" t="s">
        <v>54</v>
      </c>
      <c r="K9" s="4" t="s">
        <v>52</v>
      </c>
      <c r="L9" s="4" t="s">
        <v>52</v>
      </c>
      <c r="M9" s="4" t="s">
        <v>54</v>
      </c>
      <c r="N9" s="4" t="s">
        <v>54</v>
      </c>
      <c r="O9" s="4" t="s">
        <v>54</v>
      </c>
      <c r="P9" s="4" t="s">
        <v>53</v>
      </c>
      <c r="Q9" s="4" t="s">
        <v>52</v>
      </c>
      <c r="R9" s="4" t="s">
        <v>53</v>
      </c>
      <c r="S9" s="4" t="s">
        <v>52</v>
      </c>
      <c r="T9" s="4" t="s">
        <v>54</v>
      </c>
      <c r="U9" s="4" t="s">
        <v>54</v>
      </c>
      <c r="V9" s="4" t="s">
        <v>55</v>
      </c>
      <c r="W9" s="4" t="s">
        <v>56</v>
      </c>
      <c r="X9" s="4" t="s">
        <v>53</v>
      </c>
      <c r="Y9" s="4" t="s">
        <v>54</v>
      </c>
      <c r="Z9" s="4" t="s">
        <v>54</v>
      </c>
      <c r="AA9" s="4" t="s">
        <v>54</v>
      </c>
      <c r="AB9" s="4" t="s">
        <v>54</v>
      </c>
      <c r="AC9" s="4" t="s">
        <v>56</v>
      </c>
      <c r="AD9" s="4" t="s">
        <v>56</v>
      </c>
      <c r="AE9" s="4" t="s">
        <v>54</v>
      </c>
      <c r="AF9" s="4" t="s">
        <v>53</v>
      </c>
      <c r="AG9" s="4" t="s">
        <v>54</v>
      </c>
      <c r="AH9" s="4" t="s">
        <v>55</v>
      </c>
      <c r="AI9" s="4" t="s">
        <v>52</v>
      </c>
      <c r="AJ9" s="4" t="s">
        <v>56</v>
      </c>
      <c r="AK9" s="4" t="s">
        <v>52</v>
      </c>
      <c r="AL9" s="4" t="s">
        <v>54</v>
      </c>
      <c r="AM9" s="4" t="s">
        <v>52</v>
      </c>
      <c r="AN9" s="4" t="s">
        <v>52</v>
      </c>
      <c r="AO9" s="4" t="s">
        <v>52</v>
      </c>
      <c r="AP9" s="4" t="s">
        <v>54</v>
      </c>
      <c r="AQ9" s="4" t="s">
        <v>54</v>
      </c>
      <c r="AR9" s="4" t="s">
        <v>54</v>
      </c>
      <c r="AS9" s="4" t="s">
        <v>55</v>
      </c>
      <c r="AT9" s="4" t="s">
        <v>54</v>
      </c>
      <c r="AU9" s="5" t="s">
        <v>59</v>
      </c>
      <c r="AV9" s="5" t="s">
        <v>158</v>
      </c>
      <c r="AW9" s="5" t="s">
        <v>159</v>
      </c>
      <c r="AX9" s="5" t="s">
        <v>160</v>
      </c>
      <c r="AY9" s="6" t="s">
        <v>57</v>
      </c>
      <c r="AZ9" s="5" t="s">
        <v>60</v>
      </c>
      <c r="BA9" s="5" t="s">
        <v>58</v>
      </c>
      <c r="BB9" s="5" t="s">
        <v>161</v>
      </c>
      <c r="BC9" s="5" t="s">
        <v>162</v>
      </c>
      <c r="BD9" s="5" t="s">
        <v>163</v>
      </c>
      <c r="BE9" s="5" t="s">
        <v>164</v>
      </c>
      <c r="BF9" s="5" t="s">
        <v>162</v>
      </c>
      <c r="BG9" s="5">
        <v>5</v>
      </c>
      <c r="BH9" s="5" t="s">
        <v>165</v>
      </c>
      <c r="BI9" s="5">
        <v>15</v>
      </c>
      <c r="BJ9" s="5">
        <v>122</v>
      </c>
      <c r="BK9" s="5">
        <v>98</v>
      </c>
      <c r="BL9" s="5">
        <v>92</v>
      </c>
      <c r="BM9" s="5">
        <v>11</v>
      </c>
      <c r="BN9" s="5" t="s">
        <v>166</v>
      </c>
      <c r="BO9" s="5" t="s">
        <v>167</v>
      </c>
      <c r="BP9" s="5" t="s">
        <v>168</v>
      </c>
      <c r="BQ9" s="5" t="s">
        <v>51</v>
      </c>
    </row>
    <row r="10" spans="1:69" x14ac:dyDescent="0.25">
      <c r="A10" s="5" t="s">
        <v>61</v>
      </c>
      <c r="B10" s="5" t="s">
        <v>385</v>
      </c>
      <c r="C10" s="4" t="s">
        <v>54</v>
      </c>
      <c r="D10" s="4" t="s">
        <v>52</v>
      </c>
      <c r="E10" s="4" t="s">
        <v>54</v>
      </c>
      <c r="F10" s="7" t="s">
        <v>55</v>
      </c>
      <c r="G10" s="4" t="s">
        <v>54</v>
      </c>
      <c r="H10" s="4" t="s">
        <v>53</v>
      </c>
      <c r="I10" s="4" t="s">
        <v>54</v>
      </c>
      <c r="J10" s="4" t="s">
        <v>52</v>
      </c>
      <c r="K10" s="4" t="s">
        <v>54</v>
      </c>
      <c r="L10" s="4" t="s">
        <v>54</v>
      </c>
      <c r="M10" s="7" t="s">
        <v>55</v>
      </c>
      <c r="N10" s="4" t="s">
        <v>54</v>
      </c>
      <c r="O10" s="4" t="s">
        <v>52</v>
      </c>
      <c r="P10" s="4" t="s">
        <v>53</v>
      </c>
      <c r="Q10" s="4" t="s">
        <v>52</v>
      </c>
      <c r="R10" s="4" t="s">
        <v>55</v>
      </c>
      <c r="S10" s="4" t="s">
        <v>54</v>
      </c>
      <c r="T10" s="4" t="s">
        <v>54</v>
      </c>
      <c r="U10" s="4" t="s">
        <v>54</v>
      </c>
      <c r="V10" s="4" t="s">
        <v>54</v>
      </c>
      <c r="W10" s="4" t="s">
        <v>54</v>
      </c>
      <c r="X10" s="4" t="s">
        <v>55</v>
      </c>
      <c r="Y10" s="4" t="s">
        <v>54</v>
      </c>
      <c r="Z10" s="4" t="s">
        <v>54</v>
      </c>
      <c r="AA10" s="4" t="s">
        <v>54</v>
      </c>
      <c r="AB10" s="4" t="s">
        <v>54</v>
      </c>
      <c r="AC10" s="4" t="s">
        <v>53</v>
      </c>
      <c r="AD10" s="4" t="s">
        <v>54</v>
      </c>
      <c r="AE10" s="4" t="s">
        <v>54</v>
      </c>
      <c r="AF10" s="4" t="s">
        <v>54</v>
      </c>
      <c r="AG10" s="4" t="s">
        <v>54</v>
      </c>
      <c r="AH10" s="4" t="s">
        <v>53</v>
      </c>
      <c r="AI10" s="4" t="s">
        <v>53</v>
      </c>
      <c r="AJ10" s="4" t="s">
        <v>54</v>
      </c>
      <c r="AK10" s="4" t="s">
        <v>56</v>
      </c>
      <c r="AL10" s="4" t="s">
        <v>54</v>
      </c>
      <c r="AM10" s="4" t="s">
        <v>53</v>
      </c>
      <c r="AN10" s="4" t="s">
        <v>53</v>
      </c>
      <c r="AO10" s="4" t="s">
        <v>52</v>
      </c>
      <c r="AP10" s="4" t="s">
        <v>54</v>
      </c>
      <c r="AQ10" s="4" t="s">
        <v>54</v>
      </c>
      <c r="AR10" s="4" t="s">
        <v>54</v>
      </c>
      <c r="AS10" s="4" t="s">
        <v>53</v>
      </c>
      <c r="AT10" s="4" t="s">
        <v>54</v>
      </c>
      <c r="AU10" s="5" t="s">
        <v>62</v>
      </c>
      <c r="AV10" s="5" t="s">
        <v>169</v>
      </c>
      <c r="AW10" s="5" t="s">
        <v>170</v>
      </c>
      <c r="AX10" s="5" t="s">
        <v>171</v>
      </c>
      <c r="AY10" s="6" t="s">
        <v>57</v>
      </c>
      <c r="AZ10" s="5" t="s">
        <v>63</v>
      </c>
      <c r="BA10" s="5" t="s">
        <v>58</v>
      </c>
      <c r="BB10" s="5" t="s">
        <v>172</v>
      </c>
      <c r="BC10" s="5" t="s">
        <v>173</v>
      </c>
      <c r="BD10" s="5" t="s">
        <v>174</v>
      </c>
      <c r="BE10" s="5" t="s">
        <v>175</v>
      </c>
      <c r="BF10" s="5" t="s">
        <v>176</v>
      </c>
      <c r="BG10" s="5">
        <v>3</v>
      </c>
      <c r="BH10" s="5" t="s">
        <v>165</v>
      </c>
      <c r="BI10" s="5">
        <v>4</v>
      </c>
      <c r="BJ10" s="5">
        <v>62</v>
      </c>
      <c r="BK10" s="5">
        <v>24</v>
      </c>
      <c r="BL10" s="5">
        <v>14</v>
      </c>
      <c r="BM10" s="5">
        <v>1</v>
      </c>
      <c r="BN10" s="5" t="s">
        <v>177</v>
      </c>
      <c r="BO10" s="5" t="s">
        <v>178</v>
      </c>
      <c r="BP10" s="5" t="s">
        <v>179</v>
      </c>
      <c r="BQ10" s="5" t="s">
        <v>180</v>
      </c>
    </row>
    <row r="11" spans="1:69" x14ac:dyDescent="0.25">
      <c r="A11" s="5" t="s">
        <v>64</v>
      </c>
      <c r="B11" s="5" t="s">
        <v>65</v>
      </c>
      <c r="C11" s="4" t="s">
        <v>54</v>
      </c>
      <c r="D11" s="4" t="s">
        <v>52</v>
      </c>
      <c r="E11" s="4" t="s">
        <v>52</v>
      </c>
      <c r="F11" s="4" t="s">
        <v>53</v>
      </c>
      <c r="G11" s="4" t="s">
        <v>52</v>
      </c>
      <c r="H11" s="4" t="s">
        <v>54</v>
      </c>
      <c r="I11" s="4" t="s">
        <v>54</v>
      </c>
      <c r="J11" s="4" t="s">
        <v>54</v>
      </c>
      <c r="K11" s="4" t="s">
        <v>52</v>
      </c>
      <c r="L11" s="4" t="s">
        <v>52</v>
      </c>
      <c r="M11" s="4" t="s">
        <v>54</v>
      </c>
      <c r="N11" s="4" t="s">
        <v>52</v>
      </c>
      <c r="O11" s="7" t="s">
        <v>55</v>
      </c>
      <c r="P11" s="7" t="s">
        <v>53</v>
      </c>
      <c r="Q11" s="7" t="s">
        <v>53</v>
      </c>
      <c r="R11" s="7" t="s">
        <v>55</v>
      </c>
      <c r="S11" s="7" t="s">
        <v>53</v>
      </c>
      <c r="T11" s="7" t="s">
        <v>54</v>
      </c>
      <c r="U11" s="7" t="s">
        <v>54</v>
      </c>
      <c r="V11" s="7" t="s">
        <v>54</v>
      </c>
      <c r="W11" s="7" t="s">
        <v>52</v>
      </c>
      <c r="X11" s="7" t="s">
        <v>55</v>
      </c>
      <c r="Y11" s="7" t="s">
        <v>54</v>
      </c>
      <c r="Z11" s="7" t="s">
        <v>54</v>
      </c>
      <c r="AA11" s="7" t="s">
        <v>54</v>
      </c>
      <c r="AB11" s="7" t="s">
        <v>54</v>
      </c>
      <c r="AC11" s="7" t="s">
        <v>53</v>
      </c>
      <c r="AD11" s="7" t="s">
        <v>54</v>
      </c>
      <c r="AE11" s="7" t="s">
        <v>54</v>
      </c>
      <c r="AF11" s="7" t="s">
        <v>54</v>
      </c>
      <c r="AG11" s="7" t="s">
        <v>54</v>
      </c>
      <c r="AH11" s="7" t="s">
        <v>52</v>
      </c>
      <c r="AI11" s="7" t="s">
        <v>52</v>
      </c>
      <c r="AJ11" s="7" t="s">
        <v>53</v>
      </c>
      <c r="AK11" s="7" t="s">
        <v>52</v>
      </c>
      <c r="AL11" s="7" t="s">
        <v>55</v>
      </c>
      <c r="AM11" s="7" t="s">
        <v>54</v>
      </c>
      <c r="AN11" s="7" t="s">
        <v>52</v>
      </c>
      <c r="AO11" s="7" t="s">
        <v>53</v>
      </c>
      <c r="AP11" s="7" t="s">
        <v>54</v>
      </c>
      <c r="AQ11" s="7" t="s">
        <v>54</v>
      </c>
      <c r="AR11" s="7" t="s">
        <v>54</v>
      </c>
      <c r="AS11" s="7" t="s">
        <v>54</v>
      </c>
      <c r="AT11" s="7" t="s">
        <v>54</v>
      </c>
      <c r="AU11" s="5" t="s">
        <v>65</v>
      </c>
      <c r="AV11" s="5" t="s">
        <v>181</v>
      </c>
      <c r="AW11" s="5" t="s">
        <v>182</v>
      </c>
      <c r="AX11" s="5" t="s">
        <v>183</v>
      </c>
      <c r="AY11" s="6" t="s">
        <v>57</v>
      </c>
      <c r="AZ11" s="5" t="s">
        <v>67</v>
      </c>
      <c r="BA11" s="5" t="s">
        <v>66</v>
      </c>
      <c r="BB11" s="5" t="s">
        <v>172</v>
      </c>
      <c r="BC11" s="5" t="s">
        <v>184</v>
      </c>
      <c r="BD11" s="5" t="s">
        <v>185</v>
      </c>
      <c r="BE11" s="5" t="s">
        <v>186</v>
      </c>
      <c r="BF11" s="5" t="s">
        <v>187</v>
      </c>
      <c r="BG11" s="5">
        <v>3</v>
      </c>
      <c r="BH11" s="5" t="s">
        <v>165</v>
      </c>
      <c r="BI11" s="5">
        <v>25</v>
      </c>
      <c r="BJ11" s="5">
        <v>101</v>
      </c>
      <c r="BK11" s="5">
        <v>62</v>
      </c>
      <c r="BL11" s="5">
        <v>32</v>
      </c>
      <c r="BM11" s="5">
        <v>11</v>
      </c>
      <c r="BN11" s="5" t="s">
        <v>188</v>
      </c>
      <c r="BO11" s="5" t="s">
        <v>189</v>
      </c>
      <c r="BP11" s="5" t="s">
        <v>190</v>
      </c>
      <c r="BQ11" s="5" t="s">
        <v>191</v>
      </c>
    </row>
    <row r="12" spans="1:69" x14ac:dyDescent="0.25">
      <c r="A12" s="5" t="s">
        <v>68</v>
      </c>
      <c r="B12" s="5" t="s">
        <v>69</v>
      </c>
      <c r="C12" s="4" t="s">
        <v>54</v>
      </c>
      <c r="D12" s="7" t="s">
        <v>55</v>
      </c>
      <c r="E12" s="4" t="s">
        <v>53</v>
      </c>
      <c r="F12" s="4" t="s">
        <v>53</v>
      </c>
      <c r="G12" s="4" t="s">
        <v>53</v>
      </c>
      <c r="H12" s="4" t="s">
        <v>54</v>
      </c>
      <c r="I12" s="4" t="s">
        <v>54</v>
      </c>
      <c r="J12" s="4" t="s">
        <v>54</v>
      </c>
      <c r="K12" s="7" t="s">
        <v>55</v>
      </c>
      <c r="L12" s="4" t="s">
        <v>53</v>
      </c>
      <c r="M12" s="4" t="s">
        <v>54</v>
      </c>
      <c r="N12" s="4" t="s">
        <v>53</v>
      </c>
      <c r="O12" s="4" t="s">
        <v>54</v>
      </c>
      <c r="P12" s="4" t="s">
        <v>56</v>
      </c>
      <c r="Q12" s="4" t="s">
        <v>55</v>
      </c>
      <c r="R12" s="4" t="s">
        <v>53</v>
      </c>
      <c r="S12" s="4" t="s">
        <v>53</v>
      </c>
      <c r="T12" s="4" t="s">
        <v>54</v>
      </c>
      <c r="U12" s="4" t="s">
        <v>54</v>
      </c>
      <c r="V12" s="4" t="s">
        <v>54</v>
      </c>
      <c r="W12" s="4" t="s">
        <v>54</v>
      </c>
      <c r="X12" s="4" t="s">
        <v>53</v>
      </c>
      <c r="Y12" s="4" t="s">
        <v>53</v>
      </c>
      <c r="Z12" s="4" t="s">
        <v>54</v>
      </c>
      <c r="AA12" s="4" t="s">
        <v>54</v>
      </c>
      <c r="AB12" s="4" t="s">
        <v>54</v>
      </c>
      <c r="AC12" s="4" t="s">
        <v>55</v>
      </c>
      <c r="AD12" s="4" t="s">
        <v>54</v>
      </c>
      <c r="AE12" s="4" t="s">
        <v>54</v>
      </c>
      <c r="AF12" s="4" t="s">
        <v>54</v>
      </c>
      <c r="AG12" s="4" t="s">
        <v>54</v>
      </c>
      <c r="AH12" s="4" t="s">
        <v>53</v>
      </c>
      <c r="AI12" s="4" t="s">
        <v>52</v>
      </c>
      <c r="AJ12" s="4" t="s">
        <v>56</v>
      </c>
      <c r="AK12" s="4" t="s">
        <v>52</v>
      </c>
      <c r="AL12" s="4" t="s">
        <v>54</v>
      </c>
      <c r="AM12" s="4" t="s">
        <v>53</v>
      </c>
      <c r="AN12" s="4" t="s">
        <v>53</v>
      </c>
      <c r="AO12" s="4" t="s">
        <v>52</v>
      </c>
      <c r="AP12" s="4" t="s">
        <v>53</v>
      </c>
      <c r="AQ12" s="4" t="s">
        <v>54</v>
      </c>
      <c r="AR12" s="4" t="s">
        <v>54</v>
      </c>
      <c r="AS12" s="4" t="s">
        <v>52</v>
      </c>
      <c r="AT12" s="4" t="s">
        <v>55</v>
      </c>
      <c r="AU12" s="5" t="s">
        <v>69</v>
      </c>
      <c r="AV12" s="5" t="s">
        <v>192</v>
      </c>
      <c r="AW12" s="5" t="s">
        <v>193</v>
      </c>
      <c r="AX12" s="5" t="s">
        <v>194</v>
      </c>
      <c r="AY12" s="6" t="s">
        <v>57</v>
      </c>
      <c r="AZ12" s="5" t="s">
        <v>70</v>
      </c>
      <c r="BA12" s="5" t="s">
        <v>58</v>
      </c>
      <c r="BB12" s="5" t="s">
        <v>195</v>
      </c>
      <c r="BC12" s="5" t="s">
        <v>162</v>
      </c>
      <c r="BD12" s="5" t="s">
        <v>196</v>
      </c>
      <c r="BE12" s="5" t="s">
        <v>197</v>
      </c>
      <c r="BF12" s="5" t="s">
        <v>198</v>
      </c>
      <c r="BG12" s="5">
        <v>2</v>
      </c>
      <c r="BH12" s="5" t="s">
        <v>165</v>
      </c>
      <c r="BI12" s="5">
        <v>15</v>
      </c>
      <c r="BJ12" s="5">
        <v>67</v>
      </c>
      <c r="BK12" s="5">
        <v>83</v>
      </c>
      <c r="BL12" s="5">
        <v>53</v>
      </c>
      <c r="BM12" s="5">
        <v>16</v>
      </c>
      <c r="BN12" s="5" t="s">
        <v>199</v>
      </c>
      <c r="BO12" s="5" t="s">
        <v>200</v>
      </c>
      <c r="BP12" s="5" t="s">
        <v>201</v>
      </c>
      <c r="BQ12" s="5" t="s">
        <v>202</v>
      </c>
    </row>
    <row r="13" spans="1:69" x14ac:dyDescent="0.25">
      <c r="A13" s="5" t="s">
        <v>71</v>
      </c>
      <c r="B13" s="5" t="s">
        <v>72</v>
      </c>
      <c r="C13" s="4" t="s">
        <v>54</v>
      </c>
      <c r="D13" s="4" t="s">
        <v>53</v>
      </c>
      <c r="E13" s="4" t="s">
        <v>52</v>
      </c>
      <c r="F13" s="4" t="s">
        <v>52</v>
      </c>
      <c r="G13" s="4" t="s">
        <v>53</v>
      </c>
      <c r="H13" s="4" t="s">
        <v>54</v>
      </c>
      <c r="I13" s="4" t="s">
        <v>54</v>
      </c>
      <c r="J13" s="4" t="s">
        <v>54</v>
      </c>
      <c r="K13" s="4" t="s">
        <v>53</v>
      </c>
      <c r="L13" s="4" t="s">
        <v>52</v>
      </c>
      <c r="M13" s="4" t="s">
        <v>53</v>
      </c>
      <c r="N13" s="4" t="s">
        <v>52</v>
      </c>
      <c r="O13" s="4" t="s">
        <v>54</v>
      </c>
      <c r="P13" s="4" t="s">
        <v>53</v>
      </c>
      <c r="Q13" s="4" t="s">
        <v>55</v>
      </c>
      <c r="R13" s="4" t="s">
        <v>52</v>
      </c>
      <c r="S13" s="4" t="s">
        <v>55</v>
      </c>
      <c r="T13" s="4" t="s">
        <v>54</v>
      </c>
      <c r="U13" s="4" t="s">
        <v>54</v>
      </c>
      <c r="V13" s="4" t="s">
        <v>54</v>
      </c>
      <c r="W13" s="4" t="s">
        <v>53</v>
      </c>
      <c r="X13" s="4" t="s">
        <v>53</v>
      </c>
      <c r="Y13" s="4" t="s">
        <v>56</v>
      </c>
      <c r="Z13" s="4" t="s">
        <v>54</v>
      </c>
      <c r="AA13" s="4" t="s">
        <v>54</v>
      </c>
      <c r="AB13" s="4" t="s">
        <v>54</v>
      </c>
      <c r="AC13" s="4" t="s">
        <v>55</v>
      </c>
      <c r="AD13" s="4" t="s">
        <v>53</v>
      </c>
      <c r="AE13" s="4" t="s">
        <v>54</v>
      </c>
      <c r="AF13" s="4" t="s">
        <v>54</v>
      </c>
      <c r="AG13" s="4" t="s">
        <v>54</v>
      </c>
      <c r="AH13" s="4" t="s">
        <v>55</v>
      </c>
      <c r="AI13" s="4" t="s">
        <v>53</v>
      </c>
      <c r="AJ13" s="4" t="s">
        <v>55</v>
      </c>
      <c r="AK13" s="4" t="s">
        <v>52</v>
      </c>
      <c r="AL13" s="4" t="s">
        <v>54</v>
      </c>
      <c r="AM13" s="4" t="s">
        <v>53</v>
      </c>
      <c r="AN13" s="4" t="s">
        <v>53</v>
      </c>
      <c r="AO13" s="4" t="s">
        <v>55</v>
      </c>
      <c r="AP13" s="4" t="s">
        <v>53</v>
      </c>
      <c r="AQ13" s="4" t="s">
        <v>54</v>
      </c>
      <c r="AR13" s="4" t="s">
        <v>54</v>
      </c>
      <c r="AS13" s="4" t="s">
        <v>56</v>
      </c>
      <c r="AT13" s="4" t="s">
        <v>54</v>
      </c>
      <c r="AU13" s="5" t="s">
        <v>74</v>
      </c>
      <c r="AV13" s="5" t="s">
        <v>192</v>
      </c>
      <c r="AW13" s="5" t="s">
        <v>203</v>
      </c>
      <c r="AX13" s="5" t="s">
        <v>204</v>
      </c>
      <c r="AY13" s="6" t="s">
        <v>73</v>
      </c>
      <c r="AZ13" s="5" t="s">
        <v>70</v>
      </c>
      <c r="BA13" s="5" t="s">
        <v>58</v>
      </c>
      <c r="BB13" s="5" t="s">
        <v>195</v>
      </c>
      <c r="BC13" s="5" t="s">
        <v>205</v>
      </c>
      <c r="BD13" s="5" t="s">
        <v>206</v>
      </c>
      <c r="BE13" s="5" t="s">
        <v>207</v>
      </c>
      <c r="BF13" s="5" t="s">
        <v>208</v>
      </c>
      <c r="BG13" s="5">
        <v>1</v>
      </c>
      <c r="BH13" s="5" t="s">
        <v>209</v>
      </c>
      <c r="BI13" s="5">
        <v>18</v>
      </c>
      <c r="BJ13" s="5">
        <v>87</v>
      </c>
      <c r="BK13" s="5">
        <v>87</v>
      </c>
      <c r="BL13" s="5">
        <v>56</v>
      </c>
      <c r="BM13" s="5">
        <v>10</v>
      </c>
      <c r="BN13" s="5" t="s">
        <v>210</v>
      </c>
      <c r="BO13" s="5" t="s">
        <v>211</v>
      </c>
      <c r="BP13" s="5" t="s">
        <v>212</v>
      </c>
      <c r="BQ13" s="5" t="s">
        <v>213</v>
      </c>
    </row>
    <row r="14" spans="1:69" x14ac:dyDescent="0.25">
      <c r="A14" s="5" t="s">
        <v>75</v>
      </c>
      <c r="B14" s="5" t="s">
        <v>76</v>
      </c>
      <c r="C14" s="4" t="s">
        <v>54</v>
      </c>
      <c r="D14" s="4" t="s">
        <v>53</v>
      </c>
      <c r="E14" s="4" t="s">
        <v>52</v>
      </c>
      <c r="F14" s="7" t="s">
        <v>55</v>
      </c>
      <c r="G14" s="4" t="s">
        <v>54</v>
      </c>
      <c r="H14" s="4" t="s">
        <v>54</v>
      </c>
      <c r="I14" s="4" t="s">
        <v>54</v>
      </c>
      <c r="J14" s="4" t="s">
        <v>53</v>
      </c>
      <c r="K14" s="4" t="s">
        <v>54</v>
      </c>
      <c r="L14" s="4" t="s">
        <v>52</v>
      </c>
      <c r="M14" s="4" t="s">
        <v>52</v>
      </c>
      <c r="N14" s="4" t="s">
        <v>53</v>
      </c>
      <c r="O14" s="4" t="s">
        <v>54</v>
      </c>
      <c r="P14" s="4" t="s">
        <v>52</v>
      </c>
      <c r="Q14" s="4" t="s">
        <v>52</v>
      </c>
      <c r="R14" s="4" t="s">
        <v>55</v>
      </c>
      <c r="S14" s="4" t="s">
        <v>54</v>
      </c>
      <c r="T14" s="4" t="s">
        <v>54</v>
      </c>
      <c r="U14" s="4" t="s">
        <v>54</v>
      </c>
      <c r="V14" s="4" t="s">
        <v>56</v>
      </c>
      <c r="W14" s="4" t="s">
        <v>54</v>
      </c>
      <c r="X14" s="4" t="s">
        <v>53</v>
      </c>
      <c r="Y14" s="4" t="s">
        <v>54</v>
      </c>
      <c r="Z14" s="4" t="s">
        <v>54</v>
      </c>
      <c r="AA14" s="4" t="s">
        <v>52</v>
      </c>
      <c r="AB14" s="4" t="s">
        <v>54</v>
      </c>
      <c r="AC14" s="4" t="s">
        <v>53</v>
      </c>
      <c r="AD14" s="4" t="s">
        <v>55</v>
      </c>
      <c r="AE14" s="4" t="s">
        <v>54</v>
      </c>
      <c r="AF14" s="4" t="s">
        <v>54</v>
      </c>
      <c r="AG14" s="4" t="s">
        <v>53</v>
      </c>
      <c r="AH14" s="4" t="s">
        <v>53</v>
      </c>
      <c r="AI14" s="4" t="s">
        <v>53</v>
      </c>
      <c r="AJ14" s="4" t="s">
        <v>55</v>
      </c>
      <c r="AK14" s="4" t="s">
        <v>55</v>
      </c>
      <c r="AL14" s="4" t="s">
        <v>52</v>
      </c>
      <c r="AM14" s="4" t="s">
        <v>55</v>
      </c>
      <c r="AN14" s="4" t="s">
        <v>52</v>
      </c>
      <c r="AO14" s="4" t="s">
        <v>52</v>
      </c>
      <c r="AP14" s="4" t="s">
        <v>52</v>
      </c>
      <c r="AQ14" s="4" t="s">
        <v>54</v>
      </c>
      <c r="AR14" s="4" t="s">
        <v>55</v>
      </c>
      <c r="AS14" s="4" t="s">
        <v>56</v>
      </c>
      <c r="AT14" s="4" t="s">
        <v>54</v>
      </c>
      <c r="AU14" s="5" t="s">
        <v>76</v>
      </c>
      <c r="AV14" s="5" t="s">
        <v>158</v>
      </c>
      <c r="AW14" s="5" t="s">
        <v>214</v>
      </c>
      <c r="AX14" s="5" t="s">
        <v>158</v>
      </c>
      <c r="AY14" s="6" t="s">
        <v>57</v>
      </c>
      <c r="AZ14" s="5" t="s">
        <v>77</v>
      </c>
      <c r="BA14" s="5" t="s">
        <v>66</v>
      </c>
      <c r="BB14" s="5" t="s">
        <v>215</v>
      </c>
      <c r="BC14" s="5" t="s">
        <v>216</v>
      </c>
      <c r="BD14" s="5" t="s">
        <v>217</v>
      </c>
      <c r="BE14" s="5" t="s">
        <v>218</v>
      </c>
      <c r="BF14" s="5" t="s">
        <v>176</v>
      </c>
      <c r="BG14" s="5">
        <v>0</v>
      </c>
      <c r="BH14" s="5" t="s">
        <v>165</v>
      </c>
      <c r="BI14" s="5">
        <v>10</v>
      </c>
      <c r="BJ14" s="5">
        <v>90</v>
      </c>
      <c r="BK14" s="5">
        <v>63</v>
      </c>
      <c r="BL14" s="5">
        <v>54</v>
      </c>
      <c r="BM14" s="5">
        <v>11</v>
      </c>
      <c r="BN14" s="5" t="s">
        <v>219</v>
      </c>
      <c r="BO14" s="5" t="s">
        <v>220</v>
      </c>
      <c r="BP14" s="5" t="s">
        <v>221</v>
      </c>
      <c r="BQ14" s="5" t="s">
        <v>222</v>
      </c>
    </row>
    <row r="15" spans="1:69" x14ac:dyDescent="0.25">
      <c r="A15" s="5" t="s">
        <v>78</v>
      </c>
      <c r="B15" s="5" t="s">
        <v>79</v>
      </c>
      <c r="C15" s="4" t="s">
        <v>54</v>
      </c>
      <c r="D15" s="4" t="s">
        <v>53</v>
      </c>
      <c r="E15" s="4" t="s">
        <v>52</v>
      </c>
      <c r="F15" s="4" t="s">
        <v>52</v>
      </c>
      <c r="G15" s="4" t="s">
        <v>54</v>
      </c>
      <c r="H15" s="4" t="s">
        <v>54</v>
      </c>
      <c r="I15" s="4" t="s">
        <v>54</v>
      </c>
      <c r="J15" s="4" t="s">
        <v>54</v>
      </c>
      <c r="K15" s="4" t="s">
        <v>54</v>
      </c>
      <c r="L15" s="4" t="s">
        <v>52</v>
      </c>
      <c r="M15" s="4" t="s">
        <v>53</v>
      </c>
      <c r="N15" s="4" t="s">
        <v>53</v>
      </c>
      <c r="O15" s="4" t="s">
        <v>54</v>
      </c>
      <c r="P15" s="4" t="s">
        <v>55</v>
      </c>
      <c r="Q15" s="4" t="s">
        <v>53</v>
      </c>
      <c r="R15" s="4" t="s">
        <v>55</v>
      </c>
      <c r="S15" s="4" t="s">
        <v>55</v>
      </c>
      <c r="T15" s="4" t="s">
        <v>54</v>
      </c>
      <c r="U15" s="4" t="s">
        <v>54</v>
      </c>
      <c r="V15" s="4" t="s">
        <v>54</v>
      </c>
      <c r="W15" s="4" t="s">
        <v>54</v>
      </c>
      <c r="X15" s="4" t="s">
        <v>53</v>
      </c>
      <c r="Y15" s="4" t="s">
        <v>54</v>
      </c>
      <c r="Z15" s="4" t="s">
        <v>54</v>
      </c>
      <c r="AA15" s="4" t="s">
        <v>54</v>
      </c>
      <c r="AB15" s="4" t="s">
        <v>54</v>
      </c>
      <c r="AC15" s="4" t="s">
        <v>54</v>
      </c>
      <c r="AD15" s="4" t="s">
        <v>54</v>
      </c>
      <c r="AE15" s="4" t="s">
        <v>54</v>
      </c>
      <c r="AF15" s="4" t="s">
        <v>54</v>
      </c>
      <c r="AG15" s="4" t="s">
        <v>54</v>
      </c>
      <c r="AH15" s="4" t="s">
        <v>52</v>
      </c>
      <c r="AI15" s="4" t="s">
        <v>53</v>
      </c>
      <c r="AJ15" s="4" t="s">
        <v>55</v>
      </c>
      <c r="AK15" s="4" t="s">
        <v>52</v>
      </c>
      <c r="AL15" s="4" t="s">
        <v>54</v>
      </c>
      <c r="AM15" s="4" t="s">
        <v>53</v>
      </c>
      <c r="AN15" s="4" t="s">
        <v>52</v>
      </c>
      <c r="AO15" s="4" t="s">
        <v>53</v>
      </c>
      <c r="AP15" s="4" t="s">
        <v>54</v>
      </c>
      <c r="AQ15" s="4" t="s">
        <v>54</v>
      </c>
      <c r="AR15" s="4" t="s">
        <v>55</v>
      </c>
      <c r="AS15" s="4" t="s">
        <v>54</v>
      </c>
      <c r="AT15" s="4" t="s">
        <v>55</v>
      </c>
      <c r="AU15" s="5" t="s">
        <v>81</v>
      </c>
      <c r="AV15" s="5" t="s">
        <v>158</v>
      </c>
      <c r="AW15" s="5" t="s">
        <v>214</v>
      </c>
      <c r="AX15" s="5" t="s">
        <v>158</v>
      </c>
      <c r="AY15" s="6" t="s">
        <v>80</v>
      </c>
      <c r="AZ15" s="5" t="s">
        <v>82</v>
      </c>
      <c r="BA15" s="5" t="s">
        <v>58</v>
      </c>
      <c r="BB15" s="5" t="s">
        <v>223</v>
      </c>
      <c r="BC15" s="5" t="s">
        <v>224</v>
      </c>
      <c r="BD15" s="5" t="s">
        <v>225</v>
      </c>
      <c r="BE15" s="5" t="s">
        <v>226</v>
      </c>
      <c r="BF15" s="5" t="s">
        <v>227</v>
      </c>
      <c r="BG15" s="5">
        <v>3</v>
      </c>
      <c r="BH15" s="5" t="s">
        <v>228</v>
      </c>
      <c r="BI15" s="5">
        <v>25</v>
      </c>
      <c r="BJ15" s="5">
        <v>90</v>
      </c>
      <c r="BK15" s="5">
        <v>62</v>
      </c>
      <c r="BL15" s="5">
        <v>17</v>
      </c>
      <c r="BM15" s="5">
        <v>15</v>
      </c>
      <c r="BN15" s="5" t="s">
        <v>229</v>
      </c>
      <c r="BO15" s="5" t="s">
        <v>230</v>
      </c>
      <c r="BP15" s="5" t="s">
        <v>231</v>
      </c>
      <c r="BQ15" s="5" t="s">
        <v>232</v>
      </c>
    </row>
    <row r="16" spans="1:69" x14ac:dyDescent="0.25">
      <c r="A16" s="5" t="s">
        <v>83</v>
      </c>
      <c r="B16" s="5" t="s">
        <v>84</v>
      </c>
      <c r="C16" s="4" t="s">
        <v>54</v>
      </c>
      <c r="D16" s="4" t="s">
        <v>54</v>
      </c>
      <c r="E16" s="4" t="s">
        <v>53</v>
      </c>
      <c r="F16" s="4" t="s">
        <v>53</v>
      </c>
      <c r="G16" s="4" t="s">
        <v>54</v>
      </c>
      <c r="H16" s="4" t="s">
        <v>54</v>
      </c>
      <c r="I16" s="4" t="s">
        <v>54</v>
      </c>
      <c r="J16" s="4" t="s">
        <v>54</v>
      </c>
      <c r="K16" s="4" t="s">
        <v>54</v>
      </c>
      <c r="L16" s="7" t="s">
        <v>56</v>
      </c>
      <c r="M16" s="4" t="s">
        <v>54</v>
      </c>
      <c r="N16" s="4" t="s">
        <v>54</v>
      </c>
      <c r="O16" s="4" t="s">
        <v>54</v>
      </c>
      <c r="P16" s="4" t="s">
        <v>55</v>
      </c>
      <c r="Q16" s="4" t="s">
        <v>55</v>
      </c>
      <c r="R16" s="4" t="s">
        <v>53</v>
      </c>
      <c r="S16" s="4" t="s">
        <v>54</v>
      </c>
      <c r="T16" s="4" t="s">
        <v>54</v>
      </c>
      <c r="U16" s="4" t="s">
        <v>54</v>
      </c>
      <c r="V16" s="4" t="s">
        <v>54</v>
      </c>
      <c r="W16" s="4" t="s">
        <v>54</v>
      </c>
      <c r="X16" s="4" t="s">
        <v>54</v>
      </c>
      <c r="Y16" s="4" t="s">
        <v>54</v>
      </c>
      <c r="Z16" s="4" t="s">
        <v>54</v>
      </c>
      <c r="AA16" s="4" t="s">
        <v>54</v>
      </c>
      <c r="AB16" s="4" t="s">
        <v>54</v>
      </c>
      <c r="AC16" s="4" t="s">
        <v>55</v>
      </c>
      <c r="AD16" s="4" t="s">
        <v>56</v>
      </c>
      <c r="AE16" s="4" t="s">
        <v>54</v>
      </c>
      <c r="AF16" s="4" t="s">
        <v>54</v>
      </c>
      <c r="AG16" s="4" t="s">
        <v>54</v>
      </c>
      <c r="AH16" s="4" t="s">
        <v>53</v>
      </c>
      <c r="AI16" s="4" t="s">
        <v>53</v>
      </c>
      <c r="AJ16" s="4" t="s">
        <v>54</v>
      </c>
      <c r="AK16" s="4" t="s">
        <v>55</v>
      </c>
      <c r="AL16" s="4" t="s">
        <v>54</v>
      </c>
      <c r="AM16" s="4" t="s">
        <v>56</v>
      </c>
      <c r="AN16" s="4" t="s">
        <v>52</v>
      </c>
      <c r="AO16" s="4" t="s">
        <v>52</v>
      </c>
      <c r="AP16" s="4" t="s">
        <v>54</v>
      </c>
      <c r="AQ16" s="4" t="s">
        <v>54</v>
      </c>
      <c r="AR16" s="4" t="s">
        <v>54</v>
      </c>
      <c r="AS16" s="4" t="s">
        <v>54</v>
      </c>
      <c r="AT16" s="4" t="s">
        <v>54</v>
      </c>
      <c r="AU16" s="5" t="s">
        <v>84</v>
      </c>
      <c r="AV16" s="5" t="s">
        <v>181</v>
      </c>
      <c r="AW16" s="5" t="s">
        <v>182</v>
      </c>
      <c r="AX16" s="5" t="s">
        <v>183</v>
      </c>
      <c r="AY16" s="6" t="s">
        <v>80</v>
      </c>
      <c r="AZ16" s="5" t="s">
        <v>67</v>
      </c>
      <c r="BA16" s="5" t="s">
        <v>66</v>
      </c>
      <c r="BB16" s="5" t="s">
        <v>172</v>
      </c>
      <c r="BC16" s="5" t="s">
        <v>233</v>
      </c>
      <c r="BD16" s="5" t="s">
        <v>234</v>
      </c>
      <c r="BE16" s="5" t="s">
        <v>235</v>
      </c>
      <c r="BF16" s="5" t="s">
        <v>198</v>
      </c>
      <c r="BG16" s="5">
        <v>0</v>
      </c>
      <c r="BH16" s="5" t="s">
        <v>228</v>
      </c>
      <c r="BI16" s="5">
        <v>4</v>
      </c>
      <c r="BJ16" s="5">
        <v>50</v>
      </c>
      <c r="BK16" s="5">
        <v>45</v>
      </c>
      <c r="BL16" s="5">
        <v>36</v>
      </c>
      <c r="BM16" s="5">
        <v>5</v>
      </c>
      <c r="BN16" s="5" t="s">
        <v>236</v>
      </c>
      <c r="BO16" s="5" t="s">
        <v>237</v>
      </c>
      <c r="BP16" s="5" t="s">
        <v>238</v>
      </c>
      <c r="BQ16" s="5" t="s">
        <v>84</v>
      </c>
    </row>
    <row r="17" spans="1:69" x14ac:dyDescent="0.25">
      <c r="A17" s="5" t="s">
        <v>85</v>
      </c>
      <c r="B17" s="5" t="s">
        <v>86</v>
      </c>
      <c r="C17" s="4" t="s">
        <v>54</v>
      </c>
      <c r="D17" s="4" t="s">
        <v>52</v>
      </c>
      <c r="E17" s="4" t="s">
        <v>52</v>
      </c>
      <c r="F17" s="7" t="s">
        <v>55</v>
      </c>
      <c r="G17" s="4" t="s">
        <v>52</v>
      </c>
      <c r="H17" s="4" t="s">
        <v>54</v>
      </c>
      <c r="I17" s="4" t="s">
        <v>54</v>
      </c>
      <c r="J17" s="4" t="s">
        <v>54</v>
      </c>
      <c r="K17" s="4" t="s">
        <v>52</v>
      </c>
      <c r="L17" s="4" t="s">
        <v>52</v>
      </c>
      <c r="M17" s="7" t="s">
        <v>55</v>
      </c>
      <c r="N17" s="4" t="s">
        <v>54</v>
      </c>
      <c r="O17" s="4" t="s">
        <v>53</v>
      </c>
      <c r="P17" s="4" t="s">
        <v>56</v>
      </c>
      <c r="Q17" s="4" t="s">
        <v>52</v>
      </c>
      <c r="R17" s="4" t="s">
        <v>52</v>
      </c>
      <c r="S17" s="4" t="s">
        <v>55</v>
      </c>
      <c r="T17" s="4" t="s">
        <v>54</v>
      </c>
      <c r="U17" s="4" t="s">
        <v>54</v>
      </c>
      <c r="V17" s="4" t="s">
        <v>54</v>
      </c>
      <c r="W17" s="4" t="s">
        <v>54</v>
      </c>
      <c r="X17" s="4" t="s">
        <v>54</v>
      </c>
      <c r="Y17" s="4" t="s">
        <v>54</v>
      </c>
      <c r="Z17" s="4" t="s">
        <v>54</v>
      </c>
      <c r="AA17" s="4" t="s">
        <v>54</v>
      </c>
      <c r="AB17" s="4" t="s">
        <v>54</v>
      </c>
      <c r="AC17" s="4" t="s">
        <v>55</v>
      </c>
      <c r="AD17" s="4" t="s">
        <v>56</v>
      </c>
      <c r="AE17" s="4" t="s">
        <v>54</v>
      </c>
      <c r="AF17" s="4" t="s">
        <v>54</v>
      </c>
      <c r="AG17" s="4" t="s">
        <v>54</v>
      </c>
      <c r="AH17" s="4" t="s">
        <v>53</v>
      </c>
      <c r="AI17" s="4" t="s">
        <v>52</v>
      </c>
      <c r="AJ17" s="4" t="s">
        <v>55</v>
      </c>
      <c r="AK17" s="4" t="s">
        <v>53</v>
      </c>
      <c r="AL17" s="4" t="s">
        <v>55</v>
      </c>
      <c r="AM17" s="4" t="s">
        <v>52</v>
      </c>
      <c r="AN17" s="4" t="s">
        <v>56</v>
      </c>
      <c r="AO17" s="4" t="s">
        <v>52</v>
      </c>
      <c r="AP17" s="4" t="s">
        <v>54</v>
      </c>
      <c r="AQ17" s="4" t="s">
        <v>54</v>
      </c>
      <c r="AR17" s="4" t="s">
        <v>54</v>
      </c>
      <c r="AS17" s="4" t="s">
        <v>54</v>
      </c>
      <c r="AT17" s="4" t="s">
        <v>54</v>
      </c>
      <c r="AU17" s="5" t="s">
        <v>87</v>
      </c>
      <c r="AV17" s="5" t="s">
        <v>181</v>
      </c>
      <c r="AW17" s="5" t="s">
        <v>239</v>
      </c>
      <c r="AX17" s="5" t="s">
        <v>240</v>
      </c>
      <c r="AY17" s="6" t="s">
        <v>73</v>
      </c>
      <c r="AZ17" s="5" t="s">
        <v>88</v>
      </c>
      <c r="BA17" s="5" t="s">
        <v>58</v>
      </c>
      <c r="BB17" s="5" t="s">
        <v>241</v>
      </c>
      <c r="BC17" s="5" t="s">
        <v>242</v>
      </c>
      <c r="BD17" s="5" t="s">
        <v>243</v>
      </c>
      <c r="BE17" s="5" t="s">
        <v>244</v>
      </c>
      <c r="BF17" s="5" t="s">
        <v>208</v>
      </c>
      <c r="BG17" s="5">
        <v>1</v>
      </c>
      <c r="BH17" s="5" t="s">
        <v>209</v>
      </c>
      <c r="BI17" s="5">
        <v>32</v>
      </c>
      <c r="BJ17" s="5">
        <v>79</v>
      </c>
      <c r="BK17" s="5">
        <v>34</v>
      </c>
      <c r="BL17" s="5">
        <v>10</v>
      </c>
      <c r="BM17" s="5">
        <v>5</v>
      </c>
      <c r="BN17" s="5" t="s">
        <v>245</v>
      </c>
      <c r="BO17" s="5" t="s">
        <v>246</v>
      </c>
      <c r="BP17" s="5" t="s">
        <v>247</v>
      </c>
      <c r="BQ17" s="5" t="s">
        <v>248</v>
      </c>
    </row>
    <row r="18" spans="1:69" x14ac:dyDescent="0.25">
      <c r="A18" s="5" t="s">
        <v>89</v>
      </c>
      <c r="B18" s="5" t="s">
        <v>90</v>
      </c>
      <c r="C18" s="4" t="s">
        <v>54</v>
      </c>
      <c r="D18" s="4" t="s">
        <v>52</v>
      </c>
      <c r="E18" s="4" t="s">
        <v>52</v>
      </c>
      <c r="F18" s="4" t="s">
        <v>53</v>
      </c>
      <c r="G18" s="4" t="s">
        <v>52</v>
      </c>
      <c r="H18" s="4" t="s">
        <v>54</v>
      </c>
      <c r="I18" s="4" t="s">
        <v>54</v>
      </c>
      <c r="J18" s="4" t="s">
        <v>54</v>
      </c>
      <c r="K18" s="4" t="s">
        <v>54</v>
      </c>
      <c r="L18" s="4" t="s">
        <v>52</v>
      </c>
      <c r="M18" s="4" t="s">
        <v>54</v>
      </c>
      <c r="N18" s="4" t="s">
        <v>53</v>
      </c>
      <c r="O18" s="4" t="s">
        <v>54</v>
      </c>
      <c r="P18" s="4" t="s">
        <v>55</v>
      </c>
      <c r="Q18" s="4" t="s">
        <v>52</v>
      </c>
      <c r="R18" s="4" t="s">
        <v>52</v>
      </c>
      <c r="S18" s="4" t="s">
        <v>55</v>
      </c>
      <c r="T18" s="4" t="s">
        <v>53</v>
      </c>
      <c r="U18" s="4" t="s">
        <v>54</v>
      </c>
      <c r="V18" s="4" t="s">
        <v>54</v>
      </c>
      <c r="W18" s="4" t="s">
        <v>54</v>
      </c>
      <c r="X18" s="4" t="s">
        <v>54</v>
      </c>
      <c r="Y18" s="4" t="s">
        <v>54</v>
      </c>
      <c r="Z18" s="4" t="s">
        <v>54</v>
      </c>
      <c r="AA18" s="4" t="s">
        <v>54</v>
      </c>
      <c r="AB18" s="4" t="s">
        <v>54</v>
      </c>
      <c r="AC18" s="4" t="s">
        <v>54</v>
      </c>
      <c r="AD18" s="4" t="s">
        <v>54</v>
      </c>
      <c r="AE18" s="4" t="s">
        <v>54</v>
      </c>
      <c r="AF18" s="4" t="s">
        <v>54</v>
      </c>
      <c r="AG18" s="4" t="s">
        <v>54</v>
      </c>
      <c r="AH18" s="4" t="s">
        <v>53</v>
      </c>
      <c r="AI18" s="4" t="s">
        <v>52</v>
      </c>
      <c r="AJ18" s="4" t="s">
        <v>54</v>
      </c>
      <c r="AK18" s="4" t="s">
        <v>53</v>
      </c>
      <c r="AL18" s="4" t="s">
        <v>54</v>
      </c>
      <c r="AM18" s="4" t="s">
        <v>52</v>
      </c>
      <c r="AN18" s="4" t="s">
        <v>52</v>
      </c>
      <c r="AO18" s="4" t="s">
        <v>52</v>
      </c>
      <c r="AP18" s="4" t="s">
        <v>54</v>
      </c>
      <c r="AQ18" s="4" t="s">
        <v>54</v>
      </c>
      <c r="AR18" s="4" t="s">
        <v>53</v>
      </c>
      <c r="AS18" s="4" t="s">
        <v>53</v>
      </c>
      <c r="AT18" s="4" t="s">
        <v>54</v>
      </c>
      <c r="AU18" s="5" t="s">
        <v>90</v>
      </c>
      <c r="AV18" s="5" t="s">
        <v>181</v>
      </c>
      <c r="AW18" s="5" t="s">
        <v>182</v>
      </c>
      <c r="AX18" s="5" t="s">
        <v>249</v>
      </c>
      <c r="AY18" s="6" t="s">
        <v>73</v>
      </c>
      <c r="AZ18" s="5" t="s">
        <v>91</v>
      </c>
      <c r="BA18" s="5" t="s">
        <v>58</v>
      </c>
      <c r="BB18" s="5" t="s">
        <v>172</v>
      </c>
      <c r="BC18" s="5" t="s">
        <v>250</v>
      </c>
      <c r="BD18" s="5" t="s">
        <v>251</v>
      </c>
      <c r="BE18" s="5" t="s">
        <v>252</v>
      </c>
      <c r="BF18" s="5" t="s">
        <v>253</v>
      </c>
      <c r="BG18" s="5">
        <v>2</v>
      </c>
      <c r="BH18" s="5" t="s">
        <v>209</v>
      </c>
      <c r="BI18" s="5">
        <v>25</v>
      </c>
      <c r="BJ18" s="5">
        <v>104</v>
      </c>
      <c r="BK18" s="5">
        <v>47</v>
      </c>
      <c r="BL18" s="5">
        <v>6</v>
      </c>
      <c r="BM18" s="5">
        <v>5</v>
      </c>
      <c r="BN18" s="5" t="s">
        <v>254</v>
      </c>
      <c r="BO18" s="5" t="s">
        <v>255</v>
      </c>
      <c r="BP18" s="5" t="s">
        <v>256</v>
      </c>
      <c r="BQ18" s="5" t="s">
        <v>257</v>
      </c>
    </row>
    <row r="19" spans="1:69" x14ac:dyDescent="0.25">
      <c r="A19" s="5" t="s">
        <v>92</v>
      </c>
      <c r="B19" s="5" t="s">
        <v>93</v>
      </c>
      <c r="C19" s="4" t="s">
        <v>54</v>
      </c>
      <c r="D19" s="4" t="s">
        <v>53</v>
      </c>
      <c r="E19" s="4" t="s">
        <v>52</v>
      </c>
      <c r="F19" s="4" t="s">
        <v>52</v>
      </c>
      <c r="G19" s="4" t="s">
        <v>52</v>
      </c>
      <c r="H19" s="4" t="s">
        <v>54</v>
      </c>
      <c r="I19" s="4" t="s">
        <v>54</v>
      </c>
      <c r="J19" s="4" t="s">
        <v>54</v>
      </c>
      <c r="K19" s="4" t="s">
        <v>53</v>
      </c>
      <c r="L19" s="4" t="s">
        <v>53</v>
      </c>
      <c r="M19" s="4" t="s">
        <v>54</v>
      </c>
      <c r="N19" s="4" t="s">
        <v>52</v>
      </c>
      <c r="O19" s="4" t="s">
        <v>54</v>
      </c>
      <c r="P19" s="4" t="s">
        <v>53</v>
      </c>
      <c r="Q19" s="4" t="s">
        <v>53</v>
      </c>
      <c r="R19" s="4" t="s">
        <v>53</v>
      </c>
      <c r="S19" s="4" t="s">
        <v>55</v>
      </c>
      <c r="T19" s="4" t="s">
        <v>54</v>
      </c>
      <c r="U19" s="4" t="s">
        <v>54</v>
      </c>
      <c r="V19" s="4" t="s">
        <v>54</v>
      </c>
      <c r="W19" s="4" t="s">
        <v>54</v>
      </c>
      <c r="X19" s="4" t="s">
        <v>54</v>
      </c>
      <c r="Y19" s="4" t="s">
        <v>54</v>
      </c>
      <c r="Z19" s="4" t="s">
        <v>54</v>
      </c>
      <c r="AA19" s="4" t="s">
        <v>54</v>
      </c>
      <c r="AB19" s="4" t="s">
        <v>54</v>
      </c>
      <c r="AC19" s="4" t="s">
        <v>54</v>
      </c>
      <c r="AD19" s="4" t="s">
        <v>54</v>
      </c>
      <c r="AE19" s="4" t="s">
        <v>54</v>
      </c>
      <c r="AF19" s="4" t="s">
        <v>54</v>
      </c>
      <c r="AG19" s="4" t="s">
        <v>54</v>
      </c>
      <c r="AH19" s="4" t="s">
        <v>53</v>
      </c>
      <c r="AI19" s="4" t="s">
        <v>53</v>
      </c>
      <c r="AJ19" s="4" t="s">
        <v>55</v>
      </c>
      <c r="AK19" s="4" t="s">
        <v>52</v>
      </c>
      <c r="AL19" s="4" t="s">
        <v>54</v>
      </c>
      <c r="AM19" s="4" t="s">
        <v>55</v>
      </c>
      <c r="AN19" s="4" t="s">
        <v>52</v>
      </c>
      <c r="AO19" s="4" t="s">
        <v>52</v>
      </c>
      <c r="AP19" s="4" t="s">
        <v>54</v>
      </c>
      <c r="AQ19" s="4" t="s">
        <v>54</v>
      </c>
      <c r="AR19" s="4" t="s">
        <v>55</v>
      </c>
      <c r="AS19" s="4" t="s">
        <v>54</v>
      </c>
      <c r="AT19" s="4" t="s">
        <v>54</v>
      </c>
      <c r="AU19" s="5" t="s">
        <v>95</v>
      </c>
      <c r="AV19" s="5" t="s">
        <v>181</v>
      </c>
      <c r="AW19" s="5" t="s">
        <v>182</v>
      </c>
      <c r="AX19" s="5" t="s">
        <v>258</v>
      </c>
      <c r="AY19" s="6" t="s">
        <v>80</v>
      </c>
      <c r="AZ19" s="5" t="s">
        <v>67</v>
      </c>
      <c r="BA19" s="5" t="s">
        <v>94</v>
      </c>
      <c r="BB19" s="5" t="s">
        <v>259</v>
      </c>
      <c r="BC19" s="5" t="s">
        <v>162</v>
      </c>
      <c r="BD19" s="5" t="s">
        <v>260</v>
      </c>
      <c r="BE19" s="5" t="s">
        <v>261</v>
      </c>
      <c r="BF19" s="5" t="s">
        <v>262</v>
      </c>
      <c r="BG19" s="5">
        <v>4</v>
      </c>
      <c r="BH19" s="5" t="s">
        <v>228</v>
      </c>
      <c r="BI19" s="5">
        <v>16</v>
      </c>
      <c r="BJ19" s="5">
        <v>97</v>
      </c>
      <c r="BK19" s="5">
        <v>60</v>
      </c>
      <c r="BL19" s="5">
        <v>45</v>
      </c>
      <c r="BM19" s="5">
        <v>14</v>
      </c>
      <c r="BN19" s="5" t="s">
        <v>263</v>
      </c>
      <c r="BO19" s="5" t="s">
        <v>264</v>
      </c>
      <c r="BP19" s="5" t="s">
        <v>265</v>
      </c>
      <c r="BQ19" s="5" t="s">
        <v>266</v>
      </c>
    </row>
    <row r="20" spans="1:69" x14ac:dyDescent="0.25">
      <c r="A20" s="5" t="s">
        <v>96</v>
      </c>
      <c r="B20" s="5" t="s">
        <v>97</v>
      </c>
      <c r="C20" s="4" t="s">
        <v>54</v>
      </c>
      <c r="D20" s="7" t="s">
        <v>55</v>
      </c>
      <c r="E20" s="4" t="s">
        <v>52</v>
      </c>
      <c r="F20" s="7" t="s">
        <v>55</v>
      </c>
      <c r="G20" s="4" t="s">
        <v>54</v>
      </c>
      <c r="H20" s="4" t="s">
        <v>54</v>
      </c>
      <c r="I20" s="4" t="s">
        <v>54</v>
      </c>
      <c r="J20" s="4" t="s">
        <v>54</v>
      </c>
      <c r="K20" s="4" t="s">
        <v>54</v>
      </c>
      <c r="L20" s="4" t="s">
        <v>52</v>
      </c>
      <c r="M20" s="7" t="s">
        <v>55</v>
      </c>
      <c r="N20" s="4" t="s">
        <v>53</v>
      </c>
      <c r="O20" s="4" t="s">
        <v>54</v>
      </c>
      <c r="P20" s="4" t="s">
        <v>53</v>
      </c>
      <c r="Q20" s="4" t="s">
        <v>52</v>
      </c>
      <c r="R20" s="4" t="s">
        <v>53</v>
      </c>
      <c r="S20" s="4" t="s">
        <v>55</v>
      </c>
      <c r="T20" s="4" t="s">
        <v>54</v>
      </c>
      <c r="U20" s="4" t="s">
        <v>54</v>
      </c>
      <c r="V20" s="4" t="s">
        <v>54</v>
      </c>
      <c r="W20" s="4" t="s">
        <v>54</v>
      </c>
      <c r="X20" s="4" t="s">
        <v>54</v>
      </c>
      <c r="Y20" s="4" t="s">
        <v>54</v>
      </c>
      <c r="Z20" s="4" t="s">
        <v>54</v>
      </c>
      <c r="AA20" s="4" t="s">
        <v>54</v>
      </c>
      <c r="AB20" s="4" t="s">
        <v>54</v>
      </c>
      <c r="AC20" s="4" t="s">
        <v>54</v>
      </c>
      <c r="AD20" s="4" t="s">
        <v>54</v>
      </c>
      <c r="AE20" s="4" t="s">
        <v>54</v>
      </c>
      <c r="AF20" s="4" t="s">
        <v>54</v>
      </c>
      <c r="AG20" s="4" t="s">
        <v>54</v>
      </c>
      <c r="AH20" s="4" t="s">
        <v>53</v>
      </c>
      <c r="AI20" s="4" t="s">
        <v>53</v>
      </c>
      <c r="AJ20" s="4" t="s">
        <v>55</v>
      </c>
      <c r="AK20" s="4" t="s">
        <v>52</v>
      </c>
      <c r="AL20" s="4" t="s">
        <v>54</v>
      </c>
      <c r="AM20" s="4" t="s">
        <v>52</v>
      </c>
      <c r="AN20" s="4" t="s">
        <v>53</v>
      </c>
      <c r="AO20" s="4" t="s">
        <v>52</v>
      </c>
      <c r="AP20" s="4" t="s">
        <v>54</v>
      </c>
      <c r="AQ20" s="4" t="s">
        <v>54</v>
      </c>
      <c r="AR20" s="4" t="s">
        <v>53</v>
      </c>
      <c r="AS20" s="4" t="s">
        <v>54</v>
      </c>
      <c r="AT20" s="4" t="s">
        <v>54</v>
      </c>
      <c r="AU20" s="5" t="s">
        <v>98</v>
      </c>
      <c r="AV20" s="5" t="s">
        <v>181</v>
      </c>
      <c r="AW20" s="5" t="s">
        <v>182</v>
      </c>
      <c r="AX20" s="5" t="s">
        <v>183</v>
      </c>
      <c r="AY20" s="6" t="s">
        <v>80</v>
      </c>
      <c r="AZ20" s="5" t="s">
        <v>67</v>
      </c>
      <c r="BA20" s="5" t="s">
        <v>58</v>
      </c>
      <c r="BB20" s="5" t="s">
        <v>241</v>
      </c>
      <c r="BC20" s="5" t="s">
        <v>267</v>
      </c>
      <c r="BD20" s="5" t="s">
        <v>268</v>
      </c>
      <c r="BE20" s="5" t="s">
        <v>269</v>
      </c>
      <c r="BF20" s="5" t="s">
        <v>162</v>
      </c>
      <c r="BG20" s="5">
        <v>1</v>
      </c>
      <c r="BH20" s="5" t="s">
        <v>228</v>
      </c>
      <c r="BI20" s="5">
        <v>19</v>
      </c>
      <c r="BJ20" s="5">
        <v>116</v>
      </c>
      <c r="BK20" s="5">
        <v>61</v>
      </c>
      <c r="BL20" s="5">
        <v>26</v>
      </c>
      <c r="BM20" s="5">
        <v>3</v>
      </c>
      <c r="BN20" s="5" t="s">
        <v>270</v>
      </c>
      <c r="BO20" s="5" t="s">
        <v>271</v>
      </c>
      <c r="BP20" s="5" t="s">
        <v>272</v>
      </c>
      <c r="BQ20" s="5" t="s">
        <v>273</v>
      </c>
    </row>
    <row r="21" spans="1:69" x14ac:dyDescent="0.25">
      <c r="A21" s="5" t="s">
        <v>99</v>
      </c>
      <c r="B21" s="5" t="s">
        <v>100</v>
      </c>
      <c r="C21" s="4" t="s">
        <v>54</v>
      </c>
      <c r="D21" s="4" t="s">
        <v>52</v>
      </c>
      <c r="E21" s="4" t="s">
        <v>54</v>
      </c>
      <c r="F21" s="4" t="s">
        <v>52</v>
      </c>
      <c r="G21" s="4" t="s">
        <v>52</v>
      </c>
      <c r="H21" s="4" t="s">
        <v>53</v>
      </c>
      <c r="I21" s="4" t="s">
        <v>54</v>
      </c>
      <c r="J21" s="4" t="s">
        <v>54</v>
      </c>
      <c r="K21" s="4" t="s">
        <v>53</v>
      </c>
      <c r="L21" s="4" t="s">
        <v>52</v>
      </c>
      <c r="M21" s="4" t="s">
        <v>52</v>
      </c>
      <c r="N21" s="4" t="s">
        <v>54</v>
      </c>
      <c r="O21" s="4" t="s">
        <v>54</v>
      </c>
      <c r="P21" s="4" t="s">
        <v>53</v>
      </c>
      <c r="Q21" s="4" t="s">
        <v>52</v>
      </c>
      <c r="R21" s="4" t="s">
        <v>52</v>
      </c>
      <c r="S21" s="4" t="s">
        <v>55</v>
      </c>
      <c r="T21" s="4" t="s">
        <v>54</v>
      </c>
      <c r="U21" s="4" t="s">
        <v>54</v>
      </c>
      <c r="V21" s="4" t="s">
        <v>54</v>
      </c>
      <c r="W21" s="4" t="s">
        <v>54</v>
      </c>
      <c r="X21" s="4" t="s">
        <v>55</v>
      </c>
      <c r="Y21" s="4" t="s">
        <v>54</v>
      </c>
      <c r="Z21" s="4" t="s">
        <v>54</v>
      </c>
      <c r="AA21" s="4" t="s">
        <v>54</v>
      </c>
      <c r="AB21" s="4" t="s">
        <v>54</v>
      </c>
      <c r="AC21" s="4" t="s">
        <v>55</v>
      </c>
      <c r="AD21" s="4" t="s">
        <v>55</v>
      </c>
      <c r="AE21" s="4" t="s">
        <v>54</v>
      </c>
      <c r="AF21" s="4" t="s">
        <v>54</v>
      </c>
      <c r="AG21" s="4" t="s">
        <v>54</v>
      </c>
      <c r="AH21" s="4" t="s">
        <v>52</v>
      </c>
      <c r="AI21" s="4" t="s">
        <v>52</v>
      </c>
      <c r="AJ21" s="4" t="s">
        <v>55</v>
      </c>
      <c r="AK21" s="4" t="s">
        <v>52</v>
      </c>
      <c r="AL21" s="4" t="s">
        <v>55</v>
      </c>
      <c r="AM21" s="4" t="s">
        <v>52</v>
      </c>
      <c r="AN21" s="4" t="s">
        <v>52</v>
      </c>
      <c r="AO21" s="4" t="s">
        <v>52</v>
      </c>
      <c r="AP21" s="4" t="s">
        <v>54</v>
      </c>
      <c r="AQ21" s="4" t="s">
        <v>54</v>
      </c>
      <c r="AR21" s="4" t="s">
        <v>55</v>
      </c>
      <c r="AS21" s="4" t="s">
        <v>52</v>
      </c>
      <c r="AT21" s="4" t="s">
        <v>54</v>
      </c>
      <c r="AU21" s="5" t="s">
        <v>100</v>
      </c>
      <c r="AV21" s="5" t="s">
        <v>181</v>
      </c>
      <c r="AW21" s="5" t="s">
        <v>182</v>
      </c>
      <c r="AX21" s="5" t="s">
        <v>274</v>
      </c>
      <c r="AY21" s="6" t="s">
        <v>73</v>
      </c>
      <c r="AZ21" s="5" t="s">
        <v>63</v>
      </c>
      <c r="BA21" s="5" t="s">
        <v>58</v>
      </c>
      <c r="BB21" s="5" t="s">
        <v>172</v>
      </c>
      <c r="BC21" s="5" t="s">
        <v>275</v>
      </c>
      <c r="BD21" s="5" t="s">
        <v>276</v>
      </c>
      <c r="BE21" s="5" t="s">
        <v>277</v>
      </c>
      <c r="BF21" s="5" t="s">
        <v>278</v>
      </c>
      <c r="BG21" s="5">
        <v>4</v>
      </c>
      <c r="BH21" s="5" t="s">
        <v>209</v>
      </c>
      <c r="BI21" s="5">
        <v>36</v>
      </c>
      <c r="BJ21" s="5">
        <v>180</v>
      </c>
      <c r="BK21" s="5">
        <v>112</v>
      </c>
      <c r="BL21" s="5">
        <v>36</v>
      </c>
      <c r="BM21" s="5">
        <v>15</v>
      </c>
      <c r="BN21" s="5" t="s">
        <v>279</v>
      </c>
      <c r="BO21" s="5" t="s">
        <v>280</v>
      </c>
      <c r="BP21" s="5" t="s">
        <v>281</v>
      </c>
      <c r="BQ21" s="5" t="s">
        <v>282</v>
      </c>
    </row>
    <row r="22" spans="1:69" x14ac:dyDescent="0.25">
      <c r="A22" s="5" t="s">
        <v>101</v>
      </c>
      <c r="B22" s="5" t="s">
        <v>102</v>
      </c>
      <c r="C22" s="4" t="s">
        <v>54</v>
      </c>
      <c r="D22" s="4" t="s">
        <v>52</v>
      </c>
      <c r="E22" s="4" t="s">
        <v>52</v>
      </c>
      <c r="F22" s="7" t="s">
        <v>55</v>
      </c>
      <c r="G22" s="4" t="s">
        <v>52</v>
      </c>
      <c r="H22" s="4" t="s">
        <v>52</v>
      </c>
      <c r="I22" s="4" t="s">
        <v>54</v>
      </c>
      <c r="J22" s="4" t="s">
        <v>54</v>
      </c>
      <c r="K22" s="4" t="s">
        <v>53</v>
      </c>
      <c r="L22" s="4" t="s">
        <v>52</v>
      </c>
      <c r="M22" s="7" t="s">
        <v>55</v>
      </c>
      <c r="N22" s="4" t="s">
        <v>54</v>
      </c>
      <c r="O22" s="4" t="s">
        <v>54</v>
      </c>
      <c r="P22" s="4" t="s">
        <v>55</v>
      </c>
      <c r="Q22" s="4" t="s">
        <v>53</v>
      </c>
      <c r="R22" s="4" t="s">
        <v>52</v>
      </c>
      <c r="S22" s="4" t="s">
        <v>53</v>
      </c>
      <c r="T22" s="4" t="s">
        <v>54</v>
      </c>
      <c r="U22" s="4" t="s">
        <v>54</v>
      </c>
      <c r="V22" s="4" t="s">
        <v>54</v>
      </c>
      <c r="W22" s="4" t="s">
        <v>55</v>
      </c>
      <c r="X22" s="4" t="s">
        <v>53</v>
      </c>
      <c r="Y22" s="4" t="s">
        <v>55</v>
      </c>
      <c r="Z22" s="4" t="s">
        <v>54</v>
      </c>
      <c r="AA22" s="4" t="s">
        <v>54</v>
      </c>
      <c r="AB22" s="4" t="s">
        <v>54</v>
      </c>
      <c r="AC22" s="4" t="s">
        <v>52</v>
      </c>
      <c r="AD22" s="4" t="s">
        <v>54</v>
      </c>
      <c r="AE22" s="4" t="s">
        <v>53</v>
      </c>
      <c r="AF22" s="4" t="s">
        <v>54</v>
      </c>
      <c r="AG22" s="4" t="s">
        <v>54</v>
      </c>
      <c r="AH22" s="4" t="s">
        <v>52</v>
      </c>
      <c r="AI22" s="4" t="s">
        <v>52</v>
      </c>
      <c r="AJ22" s="4" t="s">
        <v>52</v>
      </c>
      <c r="AK22" s="4" t="s">
        <v>52</v>
      </c>
      <c r="AL22" s="4" t="s">
        <v>54</v>
      </c>
      <c r="AM22" s="4" t="s">
        <v>52</v>
      </c>
      <c r="AN22" s="4" t="s">
        <v>52</v>
      </c>
      <c r="AO22" s="4" t="s">
        <v>52</v>
      </c>
      <c r="AP22" s="4" t="s">
        <v>54</v>
      </c>
      <c r="AQ22" s="4" t="s">
        <v>54</v>
      </c>
      <c r="AR22" s="4" t="s">
        <v>54</v>
      </c>
      <c r="AS22" s="4" t="s">
        <v>52</v>
      </c>
      <c r="AT22" s="4" t="s">
        <v>52</v>
      </c>
      <c r="AU22" s="5" t="s">
        <v>102</v>
      </c>
      <c r="AV22" s="5" t="s">
        <v>169</v>
      </c>
      <c r="AW22" s="5" t="s">
        <v>170</v>
      </c>
      <c r="AX22" s="5" t="s">
        <v>171</v>
      </c>
      <c r="AY22" s="6" t="s">
        <v>73</v>
      </c>
      <c r="AZ22" s="5" t="s">
        <v>63</v>
      </c>
      <c r="BA22" s="5" t="s">
        <v>58</v>
      </c>
      <c r="BB22" s="5" t="s">
        <v>161</v>
      </c>
      <c r="BC22" s="5" t="s">
        <v>162</v>
      </c>
      <c r="BD22" s="5" t="s">
        <v>283</v>
      </c>
      <c r="BE22" s="5" t="s">
        <v>284</v>
      </c>
      <c r="BF22" s="5" t="s">
        <v>198</v>
      </c>
      <c r="BG22" s="5">
        <v>0</v>
      </c>
      <c r="BH22" s="5" t="s">
        <v>209</v>
      </c>
      <c r="BI22" s="5">
        <v>14</v>
      </c>
      <c r="BJ22" s="5">
        <v>96</v>
      </c>
      <c r="BK22" s="5">
        <v>38</v>
      </c>
      <c r="BL22" s="5">
        <v>16</v>
      </c>
      <c r="BM22" s="5">
        <v>2</v>
      </c>
      <c r="BN22" s="5" t="s">
        <v>285</v>
      </c>
      <c r="BO22" s="5" t="s">
        <v>286</v>
      </c>
      <c r="BP22" s="5" t="s">
        <v>287</v>
      </c>
      <c r="BQ22" s="5" t="s">
        <v>288</v>
      </c>
    </row>
    <row r="23" spans="1:69" x14ac:dyDescent="0.25">
      <c r="A23" s="5" t="s">
        <v>103</v>
      </c>
      <c r="B23" s="5" t="s">
        <v>104</v>
      </c>
      <c r="C23" s="4" t="s">
        <v>54</v>
      </c>
      <c r="D23" s="4" t="s">
        <v>54</v>
      </c>
      <c r="E23" s="4" t="s">
        <v>54</v>
      </c>
      <c r="F23" s="4" t="s">
        <v>52</v>
      </c>
      <c r="G23" s="4" t="s">
        <v>53</v>
      </c>
      <c r="H23" s="4" t="s">
        <v>52</v>
      </c>
      <c r="I23" s="4" t="s">
        <v>54</v>
      </c>
      <c r="J23" s="4" t="s">
        <v>54</v>
      </c>
      <c r="K23" s="4" t="s">
        <v>52</v>
      </c>
      <c r="L23" s="4" t="s">
        <v>52</v>
      </c>
      <c r="M23" s="7" t="s">
        <v>55</v>
      </c>
      <c r="N23" s="4" t="s">
        <v>53</v>
      </c>
      <c r="O23" s="7" t="s">
        <v>55</v>
      </c>
      <c r="P23" s="7" t="s">
        <v>55</v>
      </c>
      <c r="Q23" s="7" t="s">
        <v>52</v>
      </c>
      <c r="R23" s="7" t="s">
        <v>53</v>
      </c>
      <c r="S23" s="7" t="s">
        <v>52</v>
      </c>
      <c r="T23" s="7" t="s">
        <v>54</v>
      </c>
      <c r="U23" s="7" t="s">
        <v>54</v>
      </c>
      <c r="V23" s="7" t="s">
        <v>53</v>
      </c>
      <c r="W23" s="7" t="s">
        <v>54</v>
      </c>
      <c r="X23" s="7" t="s">
        <v>55</v>
      </c>
      <c r="Y23" s="7" t="s">
        <v>54</v>
      </c>
      <c r="Z23" s="7" t="s">
        <v>54</v>
      </c>
      <c r="AA23" s="7" t="s">
        <v>55</v>
      </c>
      <c r="AB23" s="7" t="s">
        <v>54</v>
      </c>
      <c r="AC23" s="7" t="s">
        <v>55</v>
      </c>
      <c r="AD23" s="7" t="s">
        <v>56</v>
      </c>
      <c r="AE23" s="7" t="s">
        <v>54</v>
      </c>
      <c r="AF23" s="7" t="s">
        <v>54</v>
      </c>
      <c r="AG23" s="7" t="s">
        <v>53</v>
      </c>
      <c r="AH23" s="7" t="s">
        <v>55</v>
      </c>
      <c r="AI23" s="7" t="s">
        <v>52</v>
      </c>
      <c r="AJ23" s="7" t="s">
        <v>53</v>
      </c>
      <c r="AK23" s="7" t="s">
        <v>53</v>
      </c>
      <c r="AL23" s="7" t="s">
        <v>54</v>
      </c>
      <c r="AM23" s="7" t="s">
        <v>53</v>
      </c>
      <c r="AN23" s="7" t="s">
        <v>55</v>
      </c>
      <c r="AO23" s="7" t="s">
        <v>55</v>
      </c>
      <c r="AP23" s="7" t="s">
        <v>55</v>
      </c>
      <c r="AQ23" s="7" t="s">
        <v>54</v>
      </c>
      <c r="AR23" s="7" t="s">
        <v>55</v>
      </c>
      <c r="AS23" s="7" t="s">
        <v>56</v>
      </c>
      <c r="AT23" s="7" t="s">
        <v>53</v>
      </c>
      <c r="AU23" s="5" t="s">
        <v>104</v>
      </c>
      <c r="AV23" s="5" t="s">
        <v>289</v>
      </c>
      <c r="AW23" s="5" t="s">
        <v>290</v>
      </c>
      <c r="AX23" s="5" t="s">
        <v>290</v>
      </c>
      <c r="AY23" s="6" t="s">
        <v>80</v>
      </c>
      <c r="AZ23" s="5" t="s">
        <v>105</v>
      </c>
      <c r="BA23" s="5" t="s">
        <v>58</v>
      </c>
      <c r="BB23" s="5" t="s">
        <v>291</v>
      </c>
      <c r="BC23" s="5" t="s">
        <v>292</v>
      </c>
      <c r="BD23" s="5" t="s">
        <v>293</v>
      </c>
      <c r="BE23" s="5" t="s">
        <v>294</v>
      </c>
      <c r="BF23" s="5" t="s">
        <v>262</v>
      </c>
      <c r="BG23" s="5">
        <v>2</v>
      </c>
      <c r="BH23" s="5" t="s">
        <v>228</v>
      </c>
      <c r="BI23" s="5">
        <v>15</v>
      </c>
      <c r="BJ23" s="5">
        <v>53</v>
      </c>
      <c r="BK23" s="5">
        <v>50</v>
      </c>
      <c r="BL23" s="5">
        <v>16</v>
      </c>
      <c r="BM23" s="5">
        <v>7</v>
      </c>
      <c r="BN23" s="5" t="s">
        <v>295</v>
      </c>
      <c r="BO23" s="5" t="s">
        <v>296</v>
      </c>
      <c r="BP23" s="5" t="s">
        <v>297</v>
      </c>
      <c r="BQ23" s="5" t="s">
        <v>298</v>
      </c>
    </row>
    <row r="24" spans="1:69" x14ac:dyDescent="0.25">
      <c r="A24" s="5" t="s">
        <v>106</v>
      </c>
      <c r="B24" s="5" t="s">
        <v>107</v>
      </c>
      <c r="C24" s="4" t="s">
        <v>54</v>
      </c>
      <c r="D24" s="4" t="s">
        <v>54</v>
      </c>
      <c r="E24" s="4" t="s">
        <v>54</v>
      </c>
      <c r="F24" s="7" t="s">
        <v>55</v>
      </c>
      <c r="G24" s="4" t="s">
        <v>54</v>
      </c>
      <c r="H24" s="4" t="s">
        <v>54</v>
      </c>
      <c r="I24" s="4" t="s">
        <v>54</v>
      </c>
      <c r="J24" s="4" t="s">
        <v>54</v>
      </c>
      <c r="K24" s="4" t="s">
        <v>54</v>
      </c>
      <c r="L24" s="4" t="s">
        <v>53</v>
      </c>
      <c r="M24" s="7" t="s">
        <v>55</v>
      </c>
      <c r="N24" s="4" t="s">
        <v>54</v>
      </c>
      <c r="O24" s="4" t="s">
        <v>54</v>
      </c>
      <c r="P24" s="4" t="s">
        <v>56</v>
      </c>
      <c r="Q24" s="4" t="s">
        <v>54</v>
      </c>
      <c r="R24" s="4" t="s">
        <v>56</v>
      </c>
      <c r="S24" s="4" t="s">
        <v>54</v>
      </c>
      <c r="T24" s="4" t="s">
        <v>54</v>
      </c>
      <c r="U24" s="4" t="s">
        <v>54</v>
      </c>
      <c r="V24" s="4" t="s">
        <v>54</v>
      </c>
      <c r="W24" s="4" t="s">
        <v>54</v>
      </c>
      <c r="X24" s="4" t="s">
        <v>55</v>
      </c>
      <c r="Y24" s="4" t="s">
        <v>54</v>
      </c>
      <c r="Z24" s="4" t="s">
        <v>54</v>
      </c>
      <c r="AA24" s="4" t="s">
        <v>54</v>
      </c>
      <c r="AB24" s="4" t="s">
        <v>54</v>
      </c>
      <c r="AC24" s="4" t="s">
        <v>54</v>
      </c>
      <c r="AD24" s="4" t="s">
        <v>54</v>
      </c>
      <c r="AE24" s="4" t="s">
        <v>54</v>
      </c>
      <c r="AF24" s="4" t="s">
        <v>54</v>
      </c>
      <c r="AG24" s="4" t="s">
        <v>54</v>
      </c>
      <c r="AH24" s="4" t="s">
        <v>53</v>
      </c>
      <c r="AI24" s="4" t="s">
        <v>55</v>
      </c>
      <c r="AJ24" s="4" t="s">
        <v>53</v>
      </c>
      <c r="AK24" s="4" t="s">
        <v>53</v>
      </c>
      <c r="AL24" s="4" t="s">
        <v>54</v>
      </c>
      <c r="AM24" s="4" t="s">
        <v>54</v>
      </c>
      <c r="AN24" s="4" t="s">
        <v>52</v>
      </c>
      <c r="AO24" s="4" t="s">
        <v>55</v>
      </c>
      <c r="AP24" s="4" t="s">
        <v>54</v>
      </c>
      <c r="AQ24" s="4" t="s">
        <v>54</v>
      </c>
      <c r="AR24" s="4" t="s">
        <v>54</v>
      </c>
      <c r="AS24" s="4" t="s">
        <v>54</v>
      </c>
      <c r="AT24" s="4" t="s">
        <v>54</v>
      </c>
      <c r="AU24" s="5" t="s">
        <v>107</v>
      </c>
      <c r="AV24" s="5" t="s">
        <v>169</v>
      </c>
      <c r="AW24" s="5" t="s">
        <v>170</v>
      </c>
      <c r="AX24" s="5" t="s">
        <v>299</v>
      </c>
      <c r="AY24" s="6" t="s">
        <v>108</v>
      </c>
      <c r="AZ24" s="5" t="s">
        <v>63</v>
      </c>
      <c r="BA24" s="5" t="s">
        <v>66</v>
      </c>
      <c r="BB24" s="5" t="s">
        <v>300</v>
      </c>
      <c r="BC24" s="5" t="s">
        <v>301</v>
      </c>
      <c r="BD24" s="5" t="s">
        <v>302</v>
      </c>
      <c r="BE24" s="5" t="s">
        <v>303</v>
      </c>
      <c r="BF24" s="5" t="s">
        <v>162</v>
      </c>
      <c r="BG24" s="5">
        <v>0</v>
      </c>
      <c r="BH24" s="5" t="s">
        <v>304</v>
      </c>
      <c r="BI24" s="5">
        <v>7</v>
      </c>
      <c r="BJ24" s="5">
        <v>36</v>
      </c>
      <c r="BK24" s="5">
        <v>23</v>
      </c>
      <c r="BL24" s="5">
        <v>5</v>
      </c>
      <c r="BM24" s="5">
        <v>3</v>
      </c>
      <c r="BN24" s="5" t="s">
        <v>305</v>
      </c>
      <c r="BO24" s="5" t="s">
        <v>306</v>
      </c>
      <c r="BP24" s="5" t="s">
        <v>307</v>
      </c>
      <c r="BQ24" s="5" t="s">
        <v>107</v>
      </c>
    </row>
    <row r="25" spans="1:69" x14ac:dyDescent="0.25">
      <c r="A25" s="5" t="s">
        <v>109</v>
      </c>
      <c r="B25" s="5" t="s">
        <v>110</v>
      </c>
      <c r="C25" s="4" t="s">
        <v>54</v>
      </c>
      <c r="D25" s="4" t="s">
        <v>53</v>
      </c>
      <c r="E25" s="4" t="s">
        <v>53</v>
      </c>
      <c r="F25" s="7" t="s">
        <v>55</v>
      </c>
      <c r="G25" s="4" t="s">
        <v>54</v>
      </c>
      <c r="H25" s="4" t="s">
        <v>54</v>
      </c>
      <c r="I25" s="4" t="s">
        <v>54</v>
      </c>
      <c r="J25" s="4" t="s">
        <v>54</v>
      </c>
      <c r="K25" s="4" t="s">
        <v>52</v>
      </c>
      <c r="L25" s="4" t="s">
        <v>53</v>
      </c>
      <c r="M25" s="4" t="s">
        <v>54</v>
      </c>
      <c r="N25" s="4" t="s">
        <v>53</v>
      </c>
      <c r="O25" s="4" t="s">
        <v>54</v>
      </c>
      <c r="P25" s="4" t="s">
        <v>55</v>
      </c>
      <c r="Q25" s="4" t="s">
        <v>56</v>
      </c>
      <c r="R25" s="4" t="s">
        <v>55</v>
      </c>
      <c r="S25" s="4" t="s">
        <v>56</v>
      </c>
      <c r="T25" s="4" t="s">
        <v>54</v>
      </c>
      <c r="U25" s="4" t="s">
        <v>54</v>
      </c>
      <c r="V25" s="4" t="s">
        <v>55</v>
      </c>
      <c r="W25" s="4" t="s">
        <v>54</v>
      </c>
      <c r="X25" s="4" t="s">
        <v>55</v>
      </c>
      <c r="Y25" s="4" t="s">
        <v>54</v>
      </c>
      <c r="Z25" s="4" t="s">
        <v>54</v>
      </c>
      <c r="AA25" s="4" t="s">
        <v>54</v>
      </c>
      <c r="AB25" s="4" t="s">
        <v>54</v>
      </c>
      <c r="AC25" s="4" t="s">
        <v>54</v>
      </c>
      <c r="AD25" s="4" t="s">
        <v>54</v>
      </c>
      <c r="AE25" s="4" t="s">
        <v>54</v>
      </c>
      <c r="AF25" s="4" t="s">
        <v>55</v>
      </c>
      <c r="AG25" s="4" t="s">
        <v>54</v>
      </c>
      <c r="AH25" s="4" t="s">
        <v>55</v>
      </c>
      <c r="AI25" s="4" t="s">
        <v>53</v>
      </c>
      <c r="AJ25" s="4" t="s">
        <v>54</v>
      </c>
      <c r="AK25" s="4" t="s">
        <v>56</v>
      </c>
      <c r="AL25" s="4" t="s">
        <v>54</v>
      </c>
      <c r="AM25" s="4" t="s">
        <v>55</v>
      </c>
      <c r="AN25" s="4" t="s">
        <v>53</v>
      </c>
      <c r="AO25" s="4" t="s">
        <v>55</v>
      </c>
      <c r="AP25" s="4" t="s">
        <v>53</v>
      </c>
      <c r="AQ25" s="4" t="s">
        <v>54</v>
      </c>
      <c r="AR25" s="4" t="s">
        <v>54</v>
      </c>
      <c r="AS25" s="4" t="s">
        <v>54</v>
      </c>
      <c r="AT25" s="4" t="s">
        <v>54</v>
      </c>
      <c r="AU25" s="5" t="s">
        <v>111</v>
      </c>
      <c r="AV25" s="5" t="s">
        <v>158</v>
      </c>
      <c r="AW25" s="5" t="s">
        <v>112</v>
      </c>
      <c r="AX25" s="5" t="s">
        <v>112</v>
      </c>
      <c r="AY25" s="6" t="s">
        <v>108</v>
      </c>
      <c r="AZ25" s="5" t="s">
        <v>112</v>
      </c>
      <c r="BA25" s="5" t="s">
        <v>58</v>
      </c>
      <c r="BB25" s="5" t="s">
        <v>241</v>
      </c>
      <c r="BC25" s="5" t="s">
        <v>308</v>
      </c>
      <c r="BD25" s="5" t="s">
        <v>309</v>
      </c>
      <c r="BE25" s="5" t="s">
        <v>310</v>
      </c>
      <c r="BF25" s="5" t="s">
        <v>311</v>
      </c>
      <c r="BG25" s="5">
        <v>2</v>
      </c>
      <c r="BH25" s="5" t="s">
        <v>304</v>
      </c>
      <c r="BI25" s="5">
        <v>11</v>
      </c>
      <c r="BJ25" s="5">
        <v>53</v>
      </c>
      <c r="BK25" s="5">
        <v>51</v>
      </c>
      <c r="BL25" s="5">
        <v>11</v>
      </c>
      <c r="BM25" s="5">
        <v>20</v>
      </c>
      <c r="BN25" s="5" t="s">
        <v>312</v>
      </c>
      <c r="BO25" s="5" t="s">
        <v>313</v>
      </c>
      <c r="BP25" s="5" t="s">
        <v>314</v>
      </c>
      <c r="BQ25" s="5" t="s">
        <v>315</v>
      </c>
    </row>
    <row r="26" spans="1:69" x14ac:dyDescent="0.25">
      <c r="A26" s="5" t="s">
        <v>113</v>
      </c>
      <c r="B26" s="5" t="s">
        <v>114</v>
      </c>
      <c r="C26" s="4" t="s">
        <v>54</v>
      </c>
      <c r="D26" s="4" t="s">
        <v>54</v>
      </c>
      <c r="E26" s="4" t="s">
        <v>53</v>
      </c>
      <c r="F26" s="7" t="s">
        <v>56</v>
      </c>
      <c r="G26" s="4" t="s">
        <v>54</v>
      </c>
      <c r="H26" s="4" t="s">
        <v>52</v>
      </c>
      <c r="I26" s="4" t="s">
        <v>54</v>
      </c>
      <c r="J26" s="4" t="s">
        <v>54</v>
      </c>
      <c r="K26" s="4" t="s">
        <v>54</v>
      </c>
      <c r="L26" s="4" t="s">
        <v>53</v>
      </c>
      <c r="M26" s="4" t="s">
        <v>54</v>
      </c>
      <c r="N26" s="4" t="s">
        <v>52</v>
      </c>
      <c r="O26" s="4" t="s">
        <v>54</v>
      </c>
      <c r="P26" s="4" t="s">
        <v>55</v>
      </c>
      <c r="Q26" s="4" t="s">
        <v>52</v>
      </c>
      <c r="R26" s="4" t="s">
        <v>56</v>
      </c>
      <c r="S26" s="4" t="s">
        <v>54</v>
      </c>
      <c r="T26" s="4" t="s">
        <v>54</v>
      </c>
      <c r="U26" s="4" t="s">
        <v>54</v>
      </c>
      <c r="V26" s="4" t="s">
        <v>54</v>
      </c>
      <c r="W26" s="4" t="s">
        <v>55</v>
      </c>
      <c r="X26" s="4" t="s">
        <v>52</v>
      </c>
      <c r="Y26" s="4" t="s">
        <v>54</v>
      </c>
      <c r="Z26" s="4" t="s">
        <v>54</v>
      </c>
      <c r="AA26" s="4" t="s">
        <v>54</v>
      </c>
      <c r="AB26" s="4" t="s">
        <v>54</v>
      </c>
      <c r="AC26" s="4" t="s">
        <v>53</v>
      </c>
      <c r="AD26" s="4" t="s">
        <v>55</v>
      </c>
      <c r="AE26" s="4" t="s">
        <v>54</v>
      </c>
      <c r="AF26" s="4" t="s">
        <v>54</v>
      </c>
      <c r="AG26" s="4" t="s">
        <v>54</v>
      </c>
      <c r="AH26" s="4" t="s">
        <v>55</v>
      </c>
      <c r="AI26" s="4" t="s">
        <v>53</v>
      </c>
      <c r="AJ26" s="4" t="s">
        <v>53</v>
      </c>
      <c r="AK26" s="4" t="s">
        <v>55</v>
      </c>
      <c r="AL26" s="4" t="s">
        <v>54</v>
      </c>
      <c r="AM26" s="4" t="s">
        <v>55</v>
      </c>
      <c r="AN26" s="4" t="s">
        <v>52</v>
      </c>
      <c r="AO26" s="4" t="s">
        <v>53</v>
      </c>
      <c r="AP26" s="4" t="s">
        <v>53</v>
      </c>
      <c r="AQ26" s="4" t="s">
        <v>54</v>
      </c>
      <c r="AR26" s="4" t="s">
        <v>53</v>
      </c>
      <c r="AS26" s="4" t="s">
        <v>54</v>
      </c>
      <c r="AT26" s="4" t="s">
        <v>54</v>
      </c>
      <c r="AU26" s="5" t="s">
        <v>114</v>
      </c>
      <c r="AV26" s="5" t="s">
        <v>192</v>
      </c>
      <c r="AW26" s="5" t="s">
        <v>316</v>
      </c>
      <c r="AX26" s="5" t="s">
        <v>317</v>
      </c>
      <c r="AY26" s="6" t="s">
        <v>108</v>
      </c>
      <c r="AZ26" s="5" t="s">
        <v>115</v>
      </c>
      <c r="BA26" s="5" t="s">
        <v>66</v>
      </c>
      <c r="BB26" s="5" t="s">
        <v>195</v>
      </c>
      <c r="BC26" s="5" t="s">
        <v>162</v>
      </c>
      <c r="BD26" s="5" t="s">
        <v>318</v>
      </c>
      <c r="BE26" s="5" t="s">
        <v>319</v>
      </c>
      <c r="BF26" s="5" t="s">
        <v>320</v>
      </c>
      <c r="BG26" s="5">
        <v>3</v>
      </c>
      <c r="BH26" s="5" t="s">
        <v>304</v>
      </c>
      <c r="BI26" s="5">
        <v>14</v>
      </c>
      <c r="BJ26" s="5">
        <v>33</v>
      </c>
      <c r="BK26" s="5">
        <v>20</v>
      </c>
      <c r="BL26" s="5">
        <v>8</v>
      </c>
      <c r="BM26" s="5">
        <v>5</v>
      </c>
      <c r="BN26" s="5" t="s">
        <v>321</v>
      </c>
      <c r="BO26" s="5" t="s">
        <v>322</v>
      </c>
      <c r="BP26" s="5" t="s">
        <v>323</v>
      </c>
      <c r="BQ26" s="5" t="s">
        <v>324</v>
      </c>
    </row>
    <row r="27" spans="1:69" x14ac:dyDescent="0.25">
      <c r="A27" s="5" t="s">
        <v>116</v>
      </c>
      <c r="B27" s="5" t="s">
        <v>117</v>
      </c>
      <c r="C27" s="4" t="s">
        <v>52</v>
      </c>
      <c r="D27" s="4" t="s">
        <v>52</v>
      </c>
      <c r="E27" s="4" t="s">
        <v>52</v>
      </c>
      <c r="F27" s="4" t="s">
        <v>54</v>
      </c>
      <c r="G27" s="4" t="s">
        <v>54</v>
      </c>
      <c r="H27" s="4" t="s">
        <v>52</v>
      </c>
      <c r="I27" s="4" t="s">
        <v>54</v>
      </c>
      <c r="J27" s="4" t="s">
        <v>54</v>
      </c>
      <c r="K27" s="4" t="s">
        <v>54</v>
      </c>
      <c r="L27" s="4" t="s">
        <v>53</v>
      </c>
      <c r="M27" s="7" t="s">
        <v>55</v>
      </c>
      <c r="N27" s="4" t="s">
        <v>54</v>
      </c>
      <c r="O27" s="7" t="s">
        <v>55</v>
      </c>
      <c r="P27" s="7" t="s">
        <v>56</v>
      </c>
      <c r="Q27" s="7" t="s">
        <v>55</v>
      </c>
      <c r="R27" s="7" t="s">
        <v>52</v>
      </c>
      <c r="S27" s="7" t="s">
        <v>55</v>
      </c>
      <c r="T27" s="7" t="s">
        <v>54</v>
      </c>
      <c r="U27" s="7" t="s">
        <v>54</v>
      </c>
      <c r="V27" s="7" t="s">
        <v>54</v>
      </c>
      <c r="W27" s="7" t="s">
        <v>54</v>
      </c>
      <c r="X27" s="7" t="s">
        <v>55</v>
      </c>
      <c r="Y27" s="7" t="s">
        <v>54</v>
      </c>
      <c r="Z27" s="7" t="s">
        <v>54</v>
      </c>
      <c r="AA27" s="7" t="s">
        <v>54</v>
      </c>
      <c r="AB27" s="7" t="s">
        <v>54</v>
      </c>
      <c r="AC27" s="7" t="s">
        <v>54</v>
      </c>
      <c r="AD27" s="7" t="s">
        <v>54</v>
      </c>
      <c r="AE27" s="7" t="s">
        <v>54</v>
      </c>
      <c r="AF27" s="7" t="s">
        <v>54</v>
      </c>
      <c r="AG27" s="7" t="s">
        <v>54</v>
      </c>
      <c r="AH27" s="7" t="s">
        <v>55</v>
      </c>
      <c r="AI27" s="7" t="s">
        <v>55</v>
      </c>
      <c r="AJ27" s="7" t="s">
        <v>54</v>
      </c>
      <c r="AK27" s="7" t="s">
        <v>55</v>
      </c>
      <c r="AL27" s="7" t="s">
        <v>53</v>
      </c>
      <c r="AM27" s="7" t="s">
        <v>53</v>
      </c>
      <c r="AN27" s="7" t="s">
        <v>56</v>
      </c>
      <c r="AO27" s="7" t="s">
        <v>55</v>
      </c>
      <c r="AP27" s="7" t="s">
        <v>54</v>
      </c>
      <c r="AQ27" s="7" t="s">
        <v>54</v>
      </c>
      <c r="AR27" s="7" t="s">
        <v>54</v>
      </c>
      <c r="AS27" s="7" t="s">
        <v>56</v>
      </c>
      <c r="AT27" s="7" t="s">
        <v>54</v>
      </c>
      <c r="AU27" s="5" t="s">
        <v>118</v>
      </c>
      <c r="AV27" s="5" t="s">
        <v>181</v>
      </c>
      <c r="AW27" s="5" t="s">
        <v>325</v>
      </c>
      <c r="AX27" s="5" t="s">
        <v>326</v>
      </c>
      <c r="AY27" s="6" t="s">
        <v>57</v>
      </c>
      <c r="AZ27" s="5" t="s">
        <v>88</v>
      </c>
      <c r="BA27" s="5" t="s">
        <v>58</v>
      </c>
      <c r="BB27" s="5" t="s">
        <v>241</v>
      </c>
      <c r="BC27" s="5" t="s">
        <v>173</v>
      </c>
      <c r="BD27" s="5" t="s">
        <v>327</v>
      </c>
      <c r="BE27" s="5" t="s">
        <v>328</v>
      </c>
      <c r="BF27" s="5" t="s">
        <v>311</v>
      </c>
      <c r="BG27" s="5">
        <v>2</v>
      </c>
      <c r="BH27" s="5" t="s">
        <v>165</v>
      </c>
      <c r="BI27" s="5">
        <v>19</v>
      </c>
      <c r="BJ27" s="5">
        <v>53</v>
      </c>
      <c r="BK27" s="5">
        <v>21</v>
      </c>
      <c r="BL27" s="5">
        <v>0</v>
      </c>
      <c r="BM27" s="5">
        <v>3</v>
      </c>
      <c r="BN27" s="5" t="s">
        <v>329</v>
      </c>
      <c r="BO27" s="5" t="s">
        <v>330</v>
      </c>
      <c r="BP27" s="5" t="s">
        <v>331</v>
      </c>
      <c r="BQ27" s="5" t="s">
        <v>332</v>
      </c>
    </row>
    <row r="28" spans="1:69" x14ac:dyDescent="0.25">
      <c r="A28" s="5" t="s">
        <v>119</v>
      </c>
      <c r="B28" s="5" t="s">
        <v>120</v>
      </c>
      <c r="C28" s="4" t="s">
        <v>54</v>
      </c>
      <c r="D28" s="4" t="s">
        <v>54</v>
      </c>
      <c r="E28" s="4" t="s">
        <v>53</v>
      </c>
      <c r="F28" s="4" t="s">
        <v>52</v>
      </c>
      <c r="G28" s="4" t="s">
        <v>52</v>
      </c>
      <c r="H28" s="4" t="s">
        <v>52</v>
      </c>
      <c r="I28" s="4" t="s">
        <v>54</v>
      </c>
      <c r="J28" s="4" t="s">
        <v>54</v>
      </c>
      <c r="K28" s="4" t="s">
        <v>53</v>
      </c>
      <c r="L28" s="4" t="s">
        <v>52</v>
      </c>
      <c r="M28" s="7" t="s">
        <v>55</v>
      </c>
      <c r="N28" s="4" t="s">
        <v>54</v>
      </c>
      <c r="O28" s="4" t="s">
        <v>54</v>
      </c>
      <c r="P28" s="4" t="s">
        <v>53</v>
      </c>
      <c r="Q28" s="4" t="s">
        <v>55</v>
      </c>
      <c r="R28" s="4" t="s">
        <v>55</v>
      </c>
      <c r="S28" s="4" t="s">
        <v>54</v>
      </c>
      <c r="T28" s="4" t="s">
        <v>54</v>
      </c>
      <c r="U28" s="4" t="s">
        <v>54</v>
      </c>
      <c r="V28" s="4" t="s">
        <v>54</v>
      </c>
      <c r="W28" s="4" t="s">
        <v>54</v>
      </c>
      <c r="X28" s="4" t="s">
        <v>55</v>
      </c>
      <c r="Y28" s="4" t="s">
        <v>54</v>
      </c>
      <c r="Z28" s="4" t="s">
        <v>54</v>
      </c>
      <c r="AA28" s="4" t="s">
        <v>54</v>
      </c>
      <c r="AB28" s="4" t="s">
        <v>54</v>
      </c>
      <c r="AC28" s="4" t="s">
        <v>54</v>
      </c>
      <c r="AD28" s="4" t="s">
        <v>56</v>
      </c>
      <c r="AE28" s="4" t="s">
        <v>54</v>
      </c>
      <c r="AF28" s="4" t="s">
        <v>54</v>
      </c>
      <c r="AG28" s="4" t="s">
        <v>54</v>
      </c>
      <c r="AH28" s="4" t="s">
        <v>52</v>
      </c>
      <c r="AI28" s="4" t="s">
        <v>52</v>
      </c>
      <c r="AJ28" s="4" t="s">
        <v>56</v>
      </c>
      <c r="AK28" s="4" t="s">
        <v>53</v>
      </c>
      <c r="AL28" s="4" t="s">
        <v>54</v>
      </c>
      <c r="AM28" s="4" t="s">
        <v>56</v>
      </c>
      <c r="AN28" s="4" t="s">
        <v>52</v>
      </c>
      <c r="AO28" s="4" t="s">
        <v>52</v>
      </c>
      <c r="AP28" s="4" t="s">
        <v>53</v>
      </c>
      <c r="AQ28" s="4" t="s">
        <v>54</v>
      </c>
      <c r="AR28" s="4" t="s">
        <v>54</v>
      </c>
      <c r="AS28" s="4" t="s">
        <v>54</v>
      </c>
      <c r="AT28" s="4" t="s">
        <v>54</v>
      </c>
      <c r="AU28" s="5" t="s">
        <v>120</v>
      </c>
      <c r="AV28" s="5" t="s">
        <v>181</v>
      </c>
      <c r="AW28" s="5" t="s">
        <v>182</v>
      </c>
      <c r="AX28" s="5" t="s">
        <v>183</v>
      </c>
      <c r="AY28" s="6" t="s">
        <v>80</v>
      </c>
      <c r="AZ28" s="5" t="s">
        <v>67</v>
      </c>
      <c r="BA28" s="5" t="s">
        <v>94</v>
      </c>
      <c r="BB28" s="5" t="s">
        <v>161</v>
      </c>
      <c r="BC28" s="5" t="s">
        <v>333</v>
      </c>
      <c r="BD28" s="5" t="s">
        <v>334</v>
      </c>
      <c r="BE28" s="5" t="s">
        <v>335</v>
      </c>
      <c r="BF28" s="5" t="s">
        <v>278</v>
      </c>
      <c r="BG28" s="5">
        <v>1</v>
      </c>
      <c r="BH28" s="5" t="s">
        <v>228</v>
      </c>
      <c r="BI28" s="5">
        <v>30</v>
      </c>
      <c r="BJ28" s="5">
        <v>85</v>
      </c>
      <c r="BK28" s="5">
        <v>48</v>
      </c>
      <c r="BL28" s="5">
        <v>11</v>
      </c>
      <c r="BM28" s="5">
        <v>20</v>
      </c>
      <c r="BN28" s="5" t="s">
        <v>336</v>
      </c>
      <c r="BO28" s="5" t="s">
        <v>337</v>
      </c>
      <c r="BP28" s="5" t="s">
        <v>338</v>
      </c>
      <c r="BQ28" s="5" t="s">
        <v>120</v>
      </c>
    </row>
    <row r="29" spans="1:69" x14ac:dyDescent="0.25">
      <c r="A29" s="5" t="s">
        <v>121</v>
      </c>
      <c r="B29" s="5" t="s">
        <v>122</v>
      </c>
      <c r="C29" s="4" t="s">
        <v>54</v>
      </c>
      <c r="D29" s="4" t="s">
        <v>52</v>
      </c>
      <c r="E29" s="4" t="s">
        <v>52</v>
      </c>
      <c r="F29" s="4" t="s">
        <v>52</v>
      </c>
      <c r="G29" s="4" t="s">
        <v>53</v>
      </c>
      <c r="H29" s="4" t="s">
        <v>54</v>
      </c>
      <c r="I29" s="4" t="s">
        <v>54</v>
      </c>
      <c r="J29" s="7" t="s">
        <v>55</v>
      </c>
      <c r="K29" s="4" t="s">
        <v>53</v>
      </c>
      <c r="L29" s="4" t="s">
        <v>52</v>
      </c>
      <c r="M29" s="7" t="s">
        <v>55</v>
      </c>
      <c r="N29" s="4" t="s">
        <v>53</v>
      </c>
      <c r="O29" s="4" t="s">
        <v>53</v>
      </c>
      <c r="P29" s="4" t="s">
        <v>55</v>
      </c>
      <c r="Q29" s="4" t="s">
        <v>53</v>
      </c>
      <c r="R29" s="4" t="s">
        <v>52</v>
      </c>
      <c r="S29" s="4" t="s">
        <v>53</v>
      </c>
      <c r="T29" s="4" t="s">
        <v>54</v>
      </c>
      <c r="U29" s="4" t="s">
        <v>54</v>
      </c>
      <c r="V29" s="4" t="s">
        <v>54</v>
      </c>
      <c r="W29" s="4" t="s">
        <v>54</v>
      </c>
      <c r="X29" s="4" t="s">
        <v>52</v>
      </c>
      <c r="Y29" s="4" t="s">
        <v>54</v>
      </c>
      <c r="Z29" s="4" t="s">
        <v>54</v>
      </c>
      <c r="AA29" s="4" t="s">
        <v>54</v>
      </c>
      <c r="AB29" s="4" t="s">
        <v>54</v>
      </c>
      <c r="AC29" s="4" t="s">
        <v>52</v>
      </c>
      <c r="AD29" s="4" t="s">
        <v>53</v>
      </c>
      <c r="AE29" s="4" t="s">
        <v>54</v>
      </c>
      <c r="AF29" s="4" t="s">
        <v>54</v>
      </c>
      <c r="AG29" s="4" t="s">
        <v>54</v>
      </c>
      <c r="AH29" s="4" t="s">
        <v>52</v>
      </c>
      <c r="AI29" s="4" t="s">
        <v>52</v>
      </c>
      <c r="AJ29" s="4" t="s">
        <v>52</v>
      </c>
      <c r="AK29" s="4" t="s">
        <v>53</v>
      </c>
      <c r="AL29" s="4" t="s">
        <v>54</v>
      </c>
      <c r="AM29" s="4" t="s">
        <v>52</v>
      </c>
      <c r="AN29" s="4" t="s">
        <v>52</v>
      </c>
      <c r="AO29" s="4" t="s">
        <v>52</v>
      </c>
      <c r="AP29" s="4" t="s">
        <v>54</v>
      </c>
      <c r="AQ29" s="4" t="s">
        <v>54</v>
      </c>
      <c r="AR29" s="4" t="s">
        <v>53</v>
      </c>
      <c r="AS29" s="4" t="s">
        <v>55</v>
      </c>
      <c r="AT29" s="4" t="s">
        <v>54</v>
      </c>
      <c r="AU29" s="5" t="s">
        <v>122</v>
      </c>
      <c r="AV29" s="5" t="s">
        <v>169</v>
      </c>
      <c r="AW29" s="5" t="s">
        <v>170</v>
      </c>
      <c r="AX29" s="5" t="s">
        <v>171</v>
      </c>
      <c r="AY29" s="6" t="s">
        <v>57</v>
      </c>
      <c r="AZ29" s="5" t="s">
        <v>123</v>
      </c>
      <c r="BA29" s="5" t="s">
        <v>58</v>
      </c>
      <c r="BB29" s="5" t="s">
        <v>241</v>
      </c>
      <c r="BC29" s="5" t="s">
        <v>162</v>
      </c>
      <c r="BD29" s="5" t="s">
        <v>339</v>
      </c>
      <c r="BE29" s="5" t="s">
        <v>340</v>
      </c>
      <c r="BF29" s="5" t="s">
        <v>262</v>
      </c>
      <c r="BG29" s="5">
        <v>3</v>
      </c>
      <c r="BH29" s="5" t="s">
        <v>165</v>
      </c>
      <c r="BI29" s="5">
        <v>27</v>
      </c>
      <c r="BJ29" s="5">
        <v>121</v>
      </c>
      <c r="BK29" s="5">
        <v>64</v>
      </c>
      <c r="BL29" s="5">
        <v>23</v>
      </c>
      <c r="BM29" s="5">
        <v>6</v>
      </c>
      <c r="BN29" s="5" t="s">
        <v>341</v>
      </c>
      <c r="BO29" s="5" t="s">
        <v>342</v>
      </c>
      <c r="BP29" s="5" t="s">
        <v>343</v>
      </c>
      <c r="BQ29" s="5" t="s">
        <v>344</v>
      </c>
    </row>
    <row r="30" spans="1:69" x14ac:dyDescent="0.25">
      <c r="A30" s="5" t="s">
        <v>124</v>
      </c>
      <c r="B30" s="5" t="s">
        <v>125</v>
      </c>
      <c r="C30" s="4" t="s">
        <v>54</v>
      </c>
      <c r="D30" s="7" t="s">
        <v>55</v>
      </c>
      <c r="E30" s="4" t="s">
        <v>53</v>
      </c>
      <c r="F30" s="7" t="s">
        <v>55</v>
      </c>
      <c r="G30" s="4" t="s">
        <v>54</v>
      </c>
      <c r="H30" s="4" t="s">
        <v>54</v>
      </c>
      <c r="I30" s="4" t="s">
        <v>54</v>
      </c>
      <c r="J30" s="4" t="s">
        <v>54</v>
      </c>
      <c r="K30" s="7" t="s">
        <v>55</v>
      </c>
      <c r="L30" s="4" t="s">
        <v>53</v>
      </c>
      <c r="M30" s="4" t="s">
        <v>54</v>
      </c>
      <c r="N30" s="4" t="s">
        <v>53</v>
      </c>
      <c r="O30" s="4" t="s">
        <v>54</v>
      </c>
      <c r="P30" s="4" t="s">
        <v>53</v>
      </c>
      <c r="Q30" s="4" t="s">
        <v>52</v>
      </c>
      <c r="R30" s="4" t="s">
        <v>55</v>
      </c>
      <c r="S30" s="4" t="s">
        <v>53</v>
      </c>
      <c r="T30" s="4" t="s">
        <v>54</v>
      </c>
      <c r="U30" s="4" t="s">
        <v>54</v>
      </c>
      <c r="V30" s="4" t="s">
        <v>54</v>
      </c>
      <c r="W30" s="4" t="s">
        <v>55</v>
      </c>
      <c r="X30" s="4" t="s">
        <v>52</v>
      </c>
      <c r="Y30" s="4" t="s">
        <v>54</v>
      </c>
      <c r="Z30" s="4" t="s">
        <v>54</v>
      </c>
      <c r="AA30" s="4" t="s">
        <v>54</v>
      </c>
      <c r="AB30" s="4" t="s">
        <v>54</v>
      </c>
      <c r="AC30" s="4" t="s">
        <v>54</v>
      </c>
      <c r="AD30" s="4" t="s">
        <v>53</v>
      </c>
      <c r="AE30" s="4" t="s">
        <v>54</v>
      </c>
      <c r="AF30" s="4" t="s">
        <v>53</v>
      </c>
      <c r="AG30" s="4" t="s">
        <v>54</v>
      </c>
      <c r="AH30" s="4" t="s">
        <v>52</v>
      </c>
      <c r="AI30" s="4" t="s">
        <v>53</v>
      </c>
      <c r="AJ30" s="4" t="s">
        <v>52</v>
      </c>
      <c r="AK30" s="4" t="s">
        <v>53</v>
      </c>
      <c r="AL30" s="4" t="s">
        <v>54</v>
      </c>
      <c r="AM30" s="4" t="s">
        <v>55</v>
      </c>
      <c r="AN30" s="4" t="s">
        <v>52</v>
      </c>
      <c r="AO30" s="4" t="s">
        <v>53</v>
      </c>
      <c r="AP30" s="4" t="s">
        <v>54</v>
      </c>
      <c r="AQ30" s="4" t="s">
        <v>54</v>
      </c>
      <c r="AR30" s="4" t="s">
        <v>54</v>
      </c>
      <c r="AS30" s="4" t="s">
        <v>53</v>
      </c>
      <c r="AT30" s="4" t="s">
        <v>54</v>
      </c>
      <c r="AU30" s="5" t="s">
        <v>126</v>
      </c>
      <c r="AV30" s="5" t="s">
        <v>192</v>
      </c>
      <c r="AW30" s="5" t="s">
        <v>203</v>
      </c>
      <c r="AX30" s="5" t="s">
        <v>203</v>
      </c>
      <c r="AY30" s="6" t="s">
        <v>57</v>
      </c>
      <c r="AZ30" s="5" t="s">
        <v>127</v>
      </c>
      <c r="BA30" s="5" t="s">
        <v>66</v>
      </c>
      <c r="BB30" s="5" t="s">
        <v>195</v>
      </c>
      <c r="BC30" s="5" t="s">
        <v>162</v>
      </c>
      <c r="BD30" s="5" t="s">
        <v>345</v>
      </c>
      <c r="BE30" s="5" t="s">
        <v>346</v>
      </c>
      <c r="BF30" s="5" t="s">
        <v>162</v>
      </c>
      <c r="BG30" s="5">
        <v>0</v>
      </c>
      <c r="BH30" s="5" t="s">
        <v>165</v>
      </c>
      <c r="BI30" s="5">
        <v>6</v>
      </c>
      <c r="BJ30" s="5">
        <v>46</v>
      </c>
      <c r="BK30" s="5">
        <v>24</v>
      </c>
      <c r="BL30" s="5">
        <v>31</v>
      </c>
      <c r="BM30" s="5">
        <v>1</v>
      </c>
      <c r="BN30" s="5" t="s">
        <v>347</v>
      </c>
      <c r="BO30" s="5" t="s">
        <v>348</v>
      </c>
      <c r="BP30" s="5" t="s">
        <v>349</v>
      </c>
      <c r="BQ30" s="5" t="s">
        <v>350</v>
      </c>
    </row>
    <row r="31" spans="1:69" x14ac:dyDescent="0.25">
      <c r="A31" s="5" t="s">
        <v>128</v>
      </c>
      <c r="B31" s="5" t="s">
        <v>129</v>
      </c>
      <c r="C31" s="4" t="s">
        <v>54</v>
      </c>
      <c r="D31" s="4" t="s">
        <v>52</v>
      </c>
      <c r="E31" s="4" t="s">
        <v>52</v>
      </c>
      <c r="F31" s="4" t="s">
        <v>52</v>
      </c>
      <c r="G31" s="4" t="s">
        <v>52</v>
      </c>
      <c r="H31" s="4" t="s">
        <v>54</v>
      </c>
      <c r="I31" s="4" t="s">
        <v>54</v>
      </c>
      <c r="J31" s="4" t="s">
        <v>54</v>
      </c>
      <c r="K31" s="4" t="s">
        <v>53</v>
      </c>
      <c r="L31" s="4" t="s">
        <v>52</v>
      </c>
      <c r="M31" s="4" t="s">
        <v>54</v>
      </c>
      <c r="N31" s="4" t="s">
        <v>54</v>
      </c>
      <c r="O31" s="4" t="s">
        <v>54</v>
      </c>
      <c r="P31" s="4" t="s">
        <v>52</v>
      </c>
      <c r="Q31" s="4" t="s">
        <v>53</v>
      </c>
      <c r="R31" s="4" t="s">
        <v>53</v>
      </c>
      <c r="S31" s="4" t="s">
        <v>52</v>
      </c>
      <c r="T31" s="4" t="s">
        <v>54</v>
      </c>
      <c r="U31" s="4" t="s">
        <v>54</v>
      </c>
      <c r="V31" s="4" t="s">
        <v>54</v>
      </c>
      <c r="W31" s="4" t="s">
        <v>54</v>
      </c>
      <c r="X31" s="4" t="s">
        <v>53</v>
      </c>
      <c r="Y31" s="4" t="s">
        <v>54</v>
      </c>
      <c r="Z31" s="4" t="s">
        <v>54</v>
      </c>
      <c r="AA31" s="4" t="s">
        <v>54</v>
      </c>
      <c r="AB31" s="4" t="s">
        <v>54</v>
      </c>
      <c r="AC31" s="4" t="s">
        <v>52</v>
      </c>
      <c r="AD31" s="4" t="s">
        <v>52</v>
      </c>
      <c r="AE31" s="4" t="s">
        <v>54</v>
      </c>
      <c r="AF31" s="4" t="s">
        <v>54</v>
      </c>
      <c r="AG31" s="4" t="s">
        <v>54</v>
      </c>
      <c r="AH31" s="4" t="s">
        <v>54</v>
      </c>
      <c r="AI31" s="4" t="s">
        <v>52</v>
      </c>
      <c r="AJ31" s="4" t="s">
        <v>53</v>
      </c>
      <c r="AK31" s="4" t="s">
        <v>54</v>
      </c>
      <c r="AL31" s="4" t="s">
        <v>54</v>
      </c>
      <c r="AM31" s="4" t="s">
        <v>52</v>
      </c>
      <c r="AN31" s="4" t="s">
        <v>54</v>
      </c>
      <c r="AO31" s="4" t="s">
        <v>52</v>
      </c>
      <c r="AP31" s="4" t="s">
        <v>54</v>
      </c>
      <c r="AQ31" s="4" t="s">
        <v>53</v>
      </c>
      <c r="AR31" s="4" t="s">
        <v>54</v>
      </c>
      <c r="AS31" s="4" t="s">
        <v>52</v>
      </c>
      <c r="AT31" s="4" t="s">
        <v>54</v>
      </c>
      <c r="AU31" s="5" t="s">
        <v>129</v>
      </c>
      <c r="AV31" s="5" t="s">
        <v>158</v>
      </c>
      <c r="AW31" s="5" t="s">
        <v>351</v>
      </c>
      <c r="AX31" s="5" t="s">
        <v>352</v>
      </c>
      <c r="AY31" s="6" t="s">
        <v>57</v>
      </c>
      <c r="AZ31" s="5" t="s">
        <v>130</v>
      </c>
      <c r="BA31" s="5" t="s">
        <v>58</v>
      </c>
      <c r="BB31" s="5" t="s">
        <v>241</v>
      </c>
      <c r="BC31" s="5" t="s">
        <v>162</v>
      </c>
      <c r="BD31" s="5" t="s">
        <v>353</v>
      </c>
      <c r="BE31" s="5" t="s">
        <v>354</v>
      </c>
      <c r="BF31" s="5" t="s">
        <v>355</v>
      </c>
      <c r="BG31" s="5">
        <v>3</v>
      </c>
      <c r="BH31" s="5" t="s">
        <v>165</v>
      </c>
      <c r="BI31" s="5">
        <v>17</v>
      </c>
      <c r="BJ31" s="5">
        <v>39</v>
      </c>
      <c r="BK31" s="5">
        <v>29</v>
      </c>
      <c r="BL31" s="5">
        <v>57</v>
      </c>
      <c r="BM31" s="5">
        <v>1</v>
      </c>
      <c r="BN31" s="5" t="s">
        <v>356</v>
      </c>
      <c r="BO31" s="5" t="s">
        <v>357</v>
      </c>
      <c r="BP31" s="5" t="s">
        <v>358</v>
      </c>
      <c r="BQ31" s="5" t="s">
        <v>359</v>
      </c>
    </row>
    <row r="32" spans="1:69" x14ac:dyDescent="0.25">
      <c r="A32" s="5" t="s">
        <v>131</v>
      </c>
      <c r="B32" s="5" t="s">
        <v>132</v>
      </c>
      <c r="C32" s="4" t="s">
        <v>54</v>
      </c>
      <c r="D32" s="4" t="s">
        <v>54</v>
      </c>
      <c r="E32" s="4" t="s">
        <v>54</v>
      </c>
      <c r="F32" s="7" t="s">
        <v>55</v>
      </c>
      <c r="G32" s="4" t="s">
        <v>54</v>
      </c>
      <c r="H32" s="4" t="s">
        <v>52</v>
      </c>
      <c r="I32" s="4" t="s">
        <v>54</v>
      </c>
      <c r="J32" s="4" t="s">
        <v>54</v>
      </c>
      <c r="K32" s="4" t="s">
        <v>54</v>
      </c>
      <c r="L32" s="4" t="s">
        <v>52</v>
      </c>
      <c r="M32" s="4" t="s">
        <v>52</v>
      </c>
      <c r="N32" s="4" t="s">
        <v>52</v>
      </c>
      <c r="O32" s="4" t="s">
        <v>53</v>
      </c>
      <c r="P32" s="4" t="s">
        <v>56</v>
      </c>
      <c r="Q32" s="4" t="s">
        <v>53</v>
      </c>
      <c r="R32" s="4" t="s">
        <v>56</v>
      </c>
      <c r="S32" s="4" t="s">
        <v>54</v>
      </c>
      <c r="T32" s="4" t="s">
        <v>54</v>
      </c>
      <c r="U32" s="4" t="s">
        <v>54</v>
      </c>
      <c r="V32" s="4" t="s">
        <v>55</v>
      </c>
      <c r="W32" s="4" t="s">
        <v>54</v>
      </c>
      <c r="X32" s="4" t="s">
        <v>53</v>
      </c>
      <c r="Y32" s="4" t="s">
        <v>54</v>
      </c>
      <c r="Z32" s="4" t="s">
        <v>54</v>
      </c>
      <c r="AA32" s="4" t="s">
        <v>52</v>
      </c>
      <c r="AB32" s="4" t="s">
        <v>54</v>
      </c>
      <c r="AC32" s="4" t="s">
        <v>55</v>
      </c>
      <c r="AD32" s="4" t="s">
        <v>55</v>
      </c>
      <c r="AE32" s="4" t="s">
        <v>54</v>
      </c>
      <c r="AF32" s="4" t="s">
        <v>54</v>
      </c>
      <c r="AG32" s="4" t="s">
        <v>54</v>
      </c>
      <c r="AH32" s="4" t="s">
        <v>55</v>
      </c>
      <c r="AI32" s="4" t="s">
        <v>52</v>
      </c>
      <c r="AJ32" s="4" t="s">
        <v>55</v>
      </c>
      <c r="AK32" s="4" t="s">
        <v>53</v>
      </c>
      <c r="AL32" s="4" t="s">
        <v>54</v>
      </c>
      <c r="AM32" s="4" t="s">
        <v>55</v>
      </c>
      <c r="AN32" s="4" t="s">
        <v>53</v>
      </c>
      <c r="AO32" s="4" t="s">
        <v>55</v>
      </c>
      <c r="AP32" s="4" t="s">
        <v>53</v>
      </c>
      <c r="AQ32" s="4" t="s">
        <v>54</v>
      </c>
      <c r="AR32" s="4" t="s">
        <v>54</v>
      </c>
      <c r="AS32" s="4" t="s">
        <v>54</v>
      </c>
      <c r="AT32" s="4" t="s">
        <v>54</v>
      </c>
      <c r="AU32" s="5" t="s">
        <v>132</v>
      </c>
      <c r="AV32" s="5" t="s">
        <v>192</v>
      </c>
      <c r="AW32" s="5" t="s">
        <v>203</v>
      </c>
      <c r="AX32" s="5" t="s">
        <v>203</v>
      </c>
      <c r="AY32" s="6" t="s">
        <v>108</v>
      </c>
      <c r="AZ32" s="5" t="s">
        <v>60</v>
      </c>
      <c r="BA32" s="5" t="s">
        <v>58</v>
      </c>
      <c r="BB32" s="5" t="s">
        <v>195</v>
      </c>
      <c r="BC32" s="5" t="s">
        <v>360</v>
      </c>
      <c r="BD32" s="5" t="s">
        <v>361</v>
      </c>
      <c r="BE32" s="5" t="s">
        <v>362</v>
      </c>
      <c r="BF32" s="5" t="s">
        <v>162</v>
      </c>
      <c r="BG32" s="5">
        <v>0</v>
      </c>
      <c r="BH32" s="5" t="s">
        <v>304</v>
      </c>
      <c r="BI32" s="5">
        <v>12</v>
      </c>
      <c r="BJ32" s="5">
        <v>45</v>
      </c>
      <c r="BK32" s="5">
        <v>51</v>
      </c>
      <c r="BL32" s="5">
        <v>30</v>
      </c>
      <c r="BM32" s="5">
        <v>10</v>
      </c>
      <c r="BN32" s="5" t="s">
        <v>363</v>
      </c>
      <c r="BO32" s="5" t="s">
        <v>364</v>
      </c>
      <c r="BP32" s="5" t="s">
        <v>365</v>
      </c>
      <c r="BQ32" s="5" t="s">
        <v>366</v>
      </c>
    </row>
    <row r="33" spans="1:69" x14ac:dyDescent="0.25">
      <c r="A33" s="5" t="s">
        <v>133</v>
      </c>
      <c r="B33" s="5" t="s">
        <v>134</v>
      </c>
      <c r="C33" s="4" t="s">
        <v>52</v>
      </c>
      <c r="D33" s="4" t="s">
        <v>53</v>
      </c>
      <c r="E33" s="4" t="s">
        <v>52</v>
      </c>
      <c r="F33" s="4" t="s">
        <v>52</v>
      </c>
      <c r="G33" s="7" t="s">
        <v>55</v>
      </c>
      <c r="H33" s="4" t="s">
        <v>53</v>
      </c>
      <c r="I33" s="4" t="s">
        <v>54</v>
      </c>
      <c r="J33" s="4" t="s">
        <v>54</v>
      </c>
      <c r="K33" s="4" t="s">
        <v>52</v>
      </c>
      <c r="L33" s="4" t="s">
        <v>52</v>
      </c>
      <c r="M33" s="7" t="s">
        <v>55</v>
      </c>
      <c r="N33" s="4" t="s">
        <v>52</v>
      </c>
      <c r="O33" s="4" t="s">
        <v>52</v>
      </c>
      <c r="P33" s="4" t="s">
        <v>52</v>
      </c>
      <c r="Q33" s="4" t="s">
        <v>52</v>
      </c>
      <c r="R33" s="4" t="s">
        <v>53</v>
      </c>
      <c r="S33" s="4" t="s">
        <v>52</v>
      </c>
      <c r="T33" s="4" t="s">
        <v>54</v>
      </c>
      <c r="U33" s="4" t="s">
        <v>54</v>
      </c>
      <c r="V33" s="4" t="s">
        <v>54</v>
      </c>
      <c r="W33" s="4" t="s">
        <v>54</v>
      </c>
      <c r="X33" s="4" t="s">
        <v>52</v>
      </c>
      <c r="Y33" s="4" t="s">
        <v>54</v>
      </c>
      <c r="Z33" s="4" t="s">
        <v>54</v>
      </c>
      <c r="AA33" s="4" t="s">
        <v>54</v>
      </c>
      <c r="AB33" s="4" t="s">
        <v>54</v>
      </c>
      <c r="AC33" s="4" t="s">
        <v>53</v>
      </c>
      <c r="AD33" s="4" t="s">
        <v>52</v>
      </c>
      <c r="AE33" s="4" t="s">
        <v>54</v>
      </c>
      <c r="AF33" s="4" t="s">
        <v>54</v>
      </c>
      <c r="AG33" s="4" t="s">
        <v>54</v>
      </c>
      <c r="AH33" s="4" t="s">
        <v>55</v>
      </c>
      <c r="AI33" s="4" t="s">
        <v>52</v>
      </c>
      <c r="AJ33" s="4" t="s">
        <v>53</v>
      </c>
      <c r="AK33" s="4" t="s">
        <v>53</v>
      </c>
      <c r="AL33" s="4" t="s">
        <v>55</v>
      </c>
      <c r="AM33" s="4" t="s">
        <v>52</v>
      </c>
      <c r="AN33" s="4" t="s">
        <v>56</v>
      </c>
      <c r="AO33" s="4" t="s">
        <v>52</v>
      </c>
      <c r="AP33" s="4" t="s">
        <v>54</v>
      </c>
      <c r="AQ33" s="4" t="s">
        <v>54</v>
      </c>
      <c r="AR33" s="4" t="s">
        <v>54</v>
      </c>
      <c r="AS33" s="4" t="s">
        <v>53</v>
      </c>
      <c r="AT33" s="4" t="s">
        <v>55</v>
      </c>
      <c r="AU33" s="5" t="s">
        <v>135</v>
      </c>
      <c r="AV33" s="5" t="s">
        <v>158</v>
      </c>
      <c r="AW33" s="5" t="s">
        <v>351</v>
      </c>
      <c r="AX33" s="5" t="s">
        <v>352</v>
      </c>
      <c r="AY33" s="6" t="s">
        <v>57</v>
      </c>
      <c r="AZ33" s="5" t="s">
        <v>136</v>
      </c>
      <c r="BA33" s="5" t="s">
        <v>58</v>
      </c>
      <c r="BB33" s="5" t="s">
        <v>241</v>
      </c>
      <c r="BC33" s="5" t="s">
        <v>162</v>
      </c>
      <c r="BD33" s="5" t="s">
        <v>367</v>
      </c>
      <c r="BE33" s="5" t="s">
        <v>368</v>
      </c>
      <c r="BF33" s="5" t="s">
        <v>369</v>
      </c>
      <c r="BG33" s="5">
        <v>10</v>
      </c>
      <c r="BH33" s="5" t="s">
        <v>165</v>
      </c>
      <c r="BI33" s="5">
        <v>28</v>
      </c>
      <c r="BJ33" s="5">
        <v>116</v>
      </c>
      <c r="BK33" s="5">
        <v>36</v>
      </c>
      <c r="BL33" s="5">
        <v>100</v>
      </c>
      <c r="BM33" s="5">
        <v>2</v>
      </c>
      <c r="BN33" s="5" t="s">
        <v>370</v>
      </c>
      <c r="BO33" s="5" t="s">
        <v>371</v>
      </c>
      <c r="BP33" s="5" t="s">
        <v>372</v>
      </c>
      <c r="BQ33" s="5" t="s">
        <v>134</v>
      </c>
    </row>
    <row r="34" spans="1:69" x14ac:dyDescent="0.25">
      <c r="A34" s="5" t="s">
        <v>137</v>
      </c>
      <c r="B34" s="5" t="s">
        <v>138</v>
      </c>
      <c r="C34" s="4" t="s">
        <v>54</v>
      </c>
      <c r="D34" s="4" t="s">
        <v>54</v>
      </c>
      <c r="E34" s="4" t="s">
        <v>52</v>
      </c>
      <c r="F34" s="7" t="s">
        <v>55</v>
      </c>
      <c r="G34" s="4" t="s">
        <v>53</v>
      </c>
      <c r="H34" s="4" t="s">
        <v>54</v>
      </c>
      <c r="I34" s="4" t="s">
        <v>54</v>
      </c>
      <c r="J34" s="4" t="s">
        <v>54</v>
      </c>
      <c r="K34" s="7" t="s">
        <v>55</v>
      </c>
      <c r="L34" s="4" t="s">
        <v>53</v>
      </c>
      <c r="M34" s="4" t="s">
        <v>54</v>
      </c>
      <c r="N34" s="4" t="s">
        <v>54</v>
      </c>
      <c r="O34" s="4" t="s">
        <v>54</v>
      </c>
      <c r="P34" s="4" t="s">
        <v>56</v>
      </c>
      <c r="Q34" s="4" t="s">
        <v>53</v>
      </c>
      <c r="R34" s="4" t="s">
        <v>52</v>
      </c>
      <c r="S34" s="4" t="s">
        <v>53</v>
      </c>
      <c r="T34" s="4" t="s">
        <v>54</v>
      </c>
      <c r="U34" s="4" t="s">
        <v>54</v>
      </c>
      <c r="V34" s="4" t="s">
        <v>54</v>
      </c>
      <c r="W34" s="4" t="s">
        <v>56</v>
      </c>
      <c r="X34" s="4" t="s">
        <v>54</v>
      </c>
      <c r="Y34" s="4" t="s">
        <v>54</v>
      </c>
      <c r="Z34" s="4" t="s">
        <v>54</v>
      </c>
      <c r="AA34" s="4" t="s">
        <v>54</v>
      </c>
      <c r="AB34" s="4" t="s">
        <v>54</v>
      </c>
      <c r="AC34" s="4" t="s">
        <v>54</v>
      </c>
      <c r="AD34" s="4" t="s">
        <v>54</v>
      </c>
      <c r="AE34" s="4" t="s">
        <v>54</v>
      </c>
      <c r="AF34" s="4" t="s">
        <v>54</v>
      </c>
      <c r="AG34" s="4" t="s">
        <v>54</v>
      </c>
      <c r="AH34" s="4" t="s">
        <v>53</v>
      </c>
      <c r="AI34" s="4" t="s">
        <v>53</v>
      </c>
      <c r="AJ34" s="4" t="s">
        <v>56</v>
      </c>
      <c r="AK34" s="4" t="s">
        <v>53</v>
      </c>
      <c r="AL34" s="4" t="s">
        <v>54</v>
      </c>
      <c r="AM34" s="4" t="s">
        <v>55</v>
      </c>
      <c r="AN34" s="4" t="s">
        <v>52</v>
      </c>
      <c r="AO34" s="4" t="s">
        <v>52</v>
      </c>
      <c r="AP34" s="4" t="s">
        <v>54</v>
      </c>
      <c r="AQ34" s="4" t="s">
        <v>54</v>
      </c>
      <c r="AR34" s="4" t="s">
        <v>54</v>
      </c>
      <c r="AS34" s="4" t="s">
        <v>54</v>
      </c>
      <c r="AT34" s="4" t="s">
        <v>54</v>
      </c>
      <c r="AU34" s="5" t="s">
        <v>138</v>
      </c>
      <c r="AV34" s="5" t="s">
        <v>373</v>
      </c>
      <c r="AW34" s="5" t="s">
        <v>374</v>
      </c>
      <c r="AX34" s="5" t="s">
        <v>374</v>
      </c>
      <c r="AY34" s="6" t="s">
        <v>80</v>
      </c>
      <c r="AZ34" s="5" t="s">
        <v>139</v>
      </c>
      <c r="BA34" s="5" t="s">
        <v>58</v>
      </c>
      <c r="BB34" s="5" t="s">
        <v>375</v>
      </c>
      <c r="BC34" s="5" t="s">
        <v>162</v>
      </c>
      <c r="BD34" s="5" t="s">
        <v>376</v>
      </c>
      <c r="BE34" s="5" t="s">
        <v>377</v>
      </c>
      <c r="BF34" s="5" t="s">
        <v>355</v>
      </c>
      <c r="BG34" s="5">
        <v>3</v>
      </c>
      <c r="BH34" s="5" t="s">
        <v>228</v>
      </c>
      <c r="BI34" s="5">
        <v>16</v>
      </c>
      <c r="BJ34" s="5">
        <v>29</v>
      </c>
      <c r="BK34" s="5">
        <v>32</v>
      </c>
      <c r="BL34" s="5">
        <v>12</v>
      </c>
      <c r="BM34" s="5">
        <v>14</v>
      </c>
      <c r="BN34" s="5" t="s">
        <v>378</v>
      </c>
      <c r="BO34" s="5" t="s">
        <v>379</v>
      </c>
      <c r="BP34" s="5" t="s">
        <v>380</v>
      </c>
      <c r="BQ34" s="5" t="s">
        <v>381</v>
      </c>
    </row>
    <row r="35" spans="1:69" x14ac:dyDescent="0.25">
      <c r="A35" s="2" t="s">
        <v>382</v>
      </c>
      <c r="B35" s="2" t="s">
        <v>52</v>
      </c>
      <c r="C35" s="1">
        <f>COUNTIF(C9:C34,"Q1")</f>
        <v>3</v>
      </c>
      <c r="D35" s="1">
        <f>COUNTIF(D9:D34,"Q1")</f>
        <v>10</v>
      </c>
      <c r="E35" s="1">
        <f t="shared" ref="E35:S35" si="0">COUNTIF(E9:E34,"Q1")</f>
        <v>15</v>
      </c>
      <c r="F35" s="1">
        <f t="shared" si="0"/>
        <v>10</v>
      </c>
      <c r="G35" s="1">
        <f t="shared" si="0"/>
        <v>8</v>
      </c>
      <c r="H35" s="1">
        <f t="shared" si="0"/>
        <v>6</v>
      </c>
      <c r="I35" s="1">
        <f t="shared" si="0"/>
        <v>0</v>
      </c>
      <c r="J35" s="1">
        <f t="shared" si="0"/>
        <v>1</v>
      </c>
      <c r="K35" s="1">
        <f t="shared" si="0"/>
        <v>6</v>
      </c>
      <c r="L35" s="1">
        <f t="shared" si="0"/>
        <v>16</v>
      </c>
      <c r="M35" s="1">
        <f t="shared" si="0"/>
        <v>3</v>
      </c>
      <c r="N35" s="1">
        <f t="shared" si="0"/>
        <v>6</v>
      </c>
      <c r="O35" s="1">
        <f t="shared" si="0"/>
        <v>2</v>
      </c>
      <c r="P35" s="1">
        <f t="shared" si="0"/>
        <v>3</v>
      </c>
      <c r="Q35" s="1">
        <f t="shared" si="0"/>
        <v>11</v>
      </c>
      <c r="R35" s="1">
        <f t="shared" si="0"/>
        <v>8</v>
      </c>
      <c r="S35" s="1">
        <f t="shared" si="0"/>
        <v>4</v>
      </c>
      <c r="T35" s="1">
        <f t="shared" ref="T35" si="1">COUNTIF(T9:T34,"Q1")</f>
        <v>0</v>
      </c>
      <c r="U35" s="1">
        <f t="shared" ref="U35" si="2">COUNTIF(U9:U34,"Q1")</f>
        <v>0</v>
      </c>
      <c r="V35" s="1">
        <f t="shared" ref="V35" si="3">COUNTIF(V9:V34,"Q1")</f>
        <v>0</v>
      </c>
      <c r="W35" s="1">
        <f t="shared" ref="W35" si="4">COUNTIF(W9:W34,"Q1")</f>
        <v>1</v>
      </c>
      <c r="X35" s="1">
        <f t="shared" ref="X35" si="5">COUNTIF(X9:X34,"Q1")</f>
        <v>4</v>
      </c>
      <c r="Y35" s="1">
        <f t="shared" ref="Y35" si="6">COUNTIF(Y9:Y34,"Q1")</f>
        <v>0</v>
      </c>
      <c r="Z35" s="1">
        <f t="shared" ref="Z35" si="7">COUNTIF(Z9:Z34,"Q1")</f>
        <v>0</v>
      </c>
      <c r="AA35" s="1">
        <f t="shared" ref="AA35" si="8">COUNTIF(AA9:AA34,"Q1")</f>
        <v>2</v>
      </c>
      <c r="AB35" s="1">
        <f t="shared" ref="AB35" si="9">COUNTIF(AB9:AB34,"Q1")</f>
        <v>0</v>
      </c>
      <c r="AC35" s="1">
        <f t="shared" ref="AC35" si="10">COUNTIF(AC9:AC34,"Q1")</f>
        <v>3</v>
      </c>
      <c r="AD35" s="1">
        <f t="shared" ref="AD35" si="11">COUNTIF(AD9:AD34,"Q1")</f>
        <v>2</v>
      </c>
      <c r="AE35" s="1">
        <f t="shared" ref="AE35" si="12">COUNTIF(AE9:AE34,"Q1")</f>
        <v>0</v>
      </c>
      <c r="AF35" s="1">
        <f t="shared" ref="AF35" si="13">COUNTIF(AF9:AF34,"Q1")</f>
        <v>0</v>
      </c>
      <c r="AG35" s="1">
        <f t="shared" ref="AG35:AH35" si="14">COUNTIF(AG9:AG34,"Q1")</f>
        <v>0</v>
      </c>
      <c r="AH35" s="1">
        <f t="shared" si="14"/>
        <v>7</v>
      </c>
      <c r="AI35" s="1">
        <f t="shared" ref="AI35" si="15">COUNTIF(AI9:AI34,"Q1")</f>
        <v>13</v>
      </c>
      <c r="AJ35" s="1">
        <f t="shared" ref="AJ35" si="16">COUNTIF(AJ9:AJ34,"Q1")</f>
        <v>3</v>
      </c>
      <c r="AK35" s="1">
        <f t="shared" ref="AK35" si="17">COUNTIF(AK9:AK34,"Q1")</f>
        <v>9</v>
      </c>
      <c r="AL35" s="1">
        <f t="shared" ref="AL35" si="18">COUNTIF(AL9:AL34,"Q1")</f>
        <v>1</v>
      </c>
      <c r="AM35" s="1">
        <f t="shared" ref="AM35" si="19">COUNTIF(AM9:AM34,"Q1")</f>
        <v>9</v>
      </c>
      <c r="AN35" s="1">
        <f t="shared" ref="AN35" si="20">COUNTIF(AN9:AN34,"Q1")</f>
        <v>15</v>
      </c>
      <c r="AO35" s="1">
        <f t="shared" ref="AO35" si="21">COUNTIF(AO9:AO34,"Q1")</f>
        <v>16</v>
      </c>
      <c r="AP35" s="1">
        <f t="shared" ref="AP35" si="22">COUNTIF(AP9:AP34,"Q1")</f>
        <v>1</v>
      </c>
      <c r="AQ35" s="1">
        <f t="shared" ref="AQ35" si="23">COUNTIF(AQ9:AQ34,"Q1")</f>
        <v>0</v>
      </c>
      <c r="AR35" s="1">
        <f t="shared" ref="AR35" si="24">COUNTIF(AR9:AR34,"Q1")</f>
        <v>0</v>
      </c>
      <c r="AS35" s="1">
        <f t="shared" ref="AS35" si="25">COUNTIF(AS9:AS34,"Q1")</f>
        <v>4</v>
      </c>
      <c r="AT35" s="1">
        <f t="shared" ref="AT35" si="26">COUNTIF(AT9:AT34,"Q1")</f>
        <v>1</v>
      </c>
      <c r="AY35" s="8"/>
    </row>
    <row r="36" spans="1:69" x14ac:dyDescent="0.25">
      <c r="A36" s="2" t="s">
        <v>382</v>
      </c>
      <c r="B36" s="2" t="s">
        <v>53</v>
      </c>
      <c r="C36" s="1">
        <f>COUNTIF(C9:C34,"Q2")</f>
        <v>0</v>
      </c>
      <c r="D36" s="1">
        <f>COUNTIF(D9:D34,"Q2")</f>
        <v>6</v>
      </c>
      <c r="E36" s="1">
        <f t="shared" ref="E36:S36" si="27">COUNTIF(E9:E34,"Q2")</f>
        <v>6</v>
      </c>
      <c r="F36" s="1">
        <f t="shared" si="27"/>
        <v>4</v>
      </c>
      <c r="G36" s="1">
        <f t="shared" si="27"/>
        <v>6</v>
      </c>
      <c r="H36" s="1">
        <f t="shared" si="27"/>
        <v>4</v>
      </c>
      <c r="I36" s="1">
        <f t="shared" si="27"/>
        <v>0</v>
      </c>
      <c r="J36" s="1">
        <f t="shared" si="27"/>
        <v>1</v>
      </c>
      <c r="K36" s="1">
        <f t="shared" si="27"/>
        <v>7</v>
      </c>
      <c r="L36" s="1">
        <f t="shared" si="27"/>
        <v>8</v>
      </c>
      <c r="M36" s="1">
        <f t="shared" si="27"/>
        <v>2</v>
      </c>
      <c r="N36" s="1">
        <f t="shared" si="27"/>
        <v>9</v>
      </c>
      <c r="O36" s="1">
        <f t="shared" si="27"/>
        <v>3</v>
      </c>
      <c r="P36" s="1">
        <f t="shared" si="27"/>
        <v>9</v>
      </c>
      <c r="Q36" s="1">
        <f t="shared" si="27"/>
        <v>8</v>
      </c>
      <c r="R36" s="1">
        <f t="shared" si="27"/>
        <v>8</v>
      </c>
      <c r="S36" s="1">
        <f t="shared" si="27"/>
        <v>6</v>
      </c>
      <c r="T36" s="1">
        <f t="shared" ref="T36:AT36" si="28">COUNTIF(T9:T34,"Q2")</f>
        <v>1</v>
      </c>
      <c r="U36" s="1">
        <f t="shared" si="28"/>
        <v>0</v>
      </c>
      <c r="V36" s="1">
        <f t="shared" si="28"/>
        <v>1</v>
      </c>
      <c r="W36" s="1">
        <f t="shared" si="28"/>
        <v>1</v>
      </c>
      <c r="X36" s="1">
        <f t="shared" si="28"/>
        <v>8</v>
      </c>
      <c r="Y36" s="1">
        <f t="shared" si="28"/>
        <v>1</v>
      </c>
      <c r="Z36" s="1">
        <f t="shared" si="28"/>
        <v>0</v>
      </c>
      <c r="AA36" s="1">
        <f t="shared" si="28"/>
        <v>0</v>
      </c>
      <c r="AB36" s="1">
        <f t="shared" si="28"/>
        <v>0</v>
      </c>
      <c r="AC36" s="1">
        <f t="shared" si="28"/>
        <v>5</v>
      </c>
      <c r="AD36" s="1">
        <f t="shared" si="28"/>
        <v>3</v>
      </c>
      <c r="AE36" s="1">
        <f t="shared" si="28"/>
        <v>1</v>
      </c>
      <c r="AF36" s="1">
        <f t="shared" si="28"/>
        <v>2</v>
      </c>
      <c r="AG36" s="1">
        <f t="shared" si="28"/>
        <v>2</v>
      </c>
      <c r="AH36" s="1">
        <f t="shared" si="28"/>
        <v>10</v>
      </c>
      <c r="AI36" s="1">
        <f t="shared" si="28"/>
        <v>11</v>
      </c>
      <c r="AJ36" s="1">
        <f t="shared" si="28"/>
        <v>6</v>
      </c>
      <c r="AK36" s="1">
        <f t="shared" si="28"/>
        <v>10</v>
      </c>
      <c r="AL36" s="1">
        <f t="shared" si="28"/>
        <v>1</v>
      </c>
      <c r="AM36" s="1">
        <f t="shared" si="28"/>
        <v>6</v>
      </c>
      <c r="AN36" s="1">
        <f t="shared" si="28"/>
        <v>6</v>
      </c>
      <c r="AO36" s="1">
        <f t="shared" si="28"/>
        <v>4</v>
      </c>
      <c r="AP36" s="1">
        <f t="shared" si="28"/>
        <v>6</v>
      </c>
      <c r="AQ36" s="1">
        <f t="shared" si="28"/>
        <v>1</v>
      </c>
      <c r="AR36" s="1">
        <f t="shared" si="28"/>
        <v>4</v>
      </c>
      <c r="AS36" s="1">
        <f t="shared" si="28"/>
        <v>4</v>
      </c>
      <c r="AT36" s="1">
        <f t="shared" si="28"/>
        <v>1</v>
      </c>
      <c r="AY36" s="8"/>
    </row>
    <row r="37" spans="1:69" x14ac:dyDescent="0.25">
      <c r="A37" s="2" t="s">
        <v>382</v>
      </c>
      <c r="B37" s="2" t="s">
        <v>55</v>
      </c>
      <c r="C37" s="1">
        <f>COUNTIF(C9:C34,"Q3")</f>
        <v>0</v>
      </c>
      <c r="D37" s="1">
        <f>COUNTIF(D9:D34,"Q3")</f>
        <v>3</v>
      </c>
      <c r="E37" s="1">
        <f t="shared" ref="E37:S37" si="29">COUNTIF(E9:E34,"Q3")</f>
        <v>0</v>
      </c>
      <c r="F37" s="1">
        <f t="shared" si="29"/>
        <v>10</v>
      </c>
      <c r="G37" s="1">
        <f t="shared" si="29"/>
        <v>1</v>
      </c>
      <c r="H37" s="1">
        <f t="shared" si="29"/>
        <v>0</v>
      </c>
      <c r="I37" s="1">
        <f t="shared" si="29"/>
        <v>0</v>
      </c>
      <c r="J37" s="1">
        <f t="shared" si="29"/>
        <v>1</v>
      </c>
      <c r="K37" s="1">
        <f t="shared" si="29"/>
        <v>3</v>
      </c>
      <c r="L37" s="1">
        <f t="shared" si="29"/>
        <v>0</v>
      </c>
      <c r="M37" s="1">
        <f t="shared" si="29"/>
        <v>10</v>
      </c>
      <c r="N37" s="1">
        <f t="shared" si="29"/>
        <v>0</v>
      </c>
      <c r="O37" s="1">
        <f t="shared" si="29"/>
        <v>3</v>
      </c>
      <c r="P37" s="1">
        <f t="shared" si="29"/>
        <v>8</v>
      </c>
      <c r="Q37" s="1">
        <f t="shared" si="29"/>
        <v>5</v>
      </c>
      <c r="R37" s="1">
        <f t="shared" si="29"/>
        <v>7</v>
      </c>
      <c r="S37" s="1">
        <f t="shared" si="29"/>
        <v>8</v>
      </c>
      <c r="T37" s="1">
        <f t="shared" ref="T37:AT37" si="30">COUNTIF(T9:T34,"Q3")</f>
        <v>0</v>
      </c>
      <c r="U37" s="1">
        <f t="shared" si="30"/>
        <v>0</v>
      </c>
      <c r="V37" s="1">
        <f t="shared" si="30"/>
        <v>3</v>
      </c>
      <c r="W37" s="1">
        <f t="shared" si="30"/>
        <v>3</v>
      </c>
      <c r="X37" s="1">
        <f t="shared" si="30"/>
        <v>8</v>
      </c>
      <c r="Y37" s="1">
        <f t="shared" si="30"/>
        <v>1</v>
      </c>
      <c r="Z37" s="1">
        <f t="shared" si="30"/>
        <v>0</v>
      </c>
      <c r="AA37" s="1">
        <f t="shared" si="30"/>
        <v>1</v>
      </c>
      <c r="AB37" s="1">
        <f t="shared" si="30"/>
        <v>0</v>
      </c>
      <c r="AC37" s="1">
        <f t="shared" si="30"/>
        <v>7</v>
      </c>
      <c r="AD37" s="1">
        <f t="shared" si="30"/>
        <v>4</v>
      </c>
      <c r="AE37" s="1">
        <f t="shared" si="30"/>
        <v>0</v>
      </c>
      <c r="AF37" s="1">
        <f t="shared" si="30"/>
        <v>1</v>
      </c>
      <c r="AG37" s="1">
        <f t="shared" si="30"/>
        <v>0</v>
      </c>
      <c r="AH37" s="1">
        <f t="shared" si="30"/>
        <v>8</v>
      </c>
      <c r="AI37" s="1">
        <f t="shared" si="30"/>
        <v>2</v>
      </c>
      <c r="AJ37" s="1">
        <f t="shared" si="30"/>
        <v>8</v>
      </c>
      <c r="AK37" s="1">
        <f t="shared" si="30"/>
        <v>4</v>
      </c>
      <c r="AL37" s="1">
        <f t="shared" si="30"/>
        <v>4</v>
      </c>
      <c r="AM37" s="1">
        <f t="shared" si="30"/>
        <v>7</v>
      </c>
      <c r="AN37" s="1">
        <f t="shared" si="30"/>
        <v>1</v>
      </c>
      <c r="AO37" s="1">
        <f t="shared" si="30"/>
        <v>6</v>
      </c>
      <c r="AP37" s="1">
        <f t="shared" si="30"/>
        <v>1</v>
      </c>
      <c r="AQ37" s="1">
        <f t="shared" si="30"/>
        <v>0</v>
      </c>
      <c r="AR37" s="1">
        <f t="shared" si="30"/>
        <v>5</v>
      </c>
      <c r="AS37" s="1">
        <f t="shared" si="30"/>
        <v>2</v>
      </c>
      <c r="AT37" s="1">
        <f t="shared" si="30"/>
        <v>3</v>
      </c>
      <c r="AY37" s="8"/>
    </row>
    <row r="38" spans="1:69" x14ac:dyDescent="0.25">
      <c r="A38" s="2" t="s">
        <v>382</v>
      </c>
      <c r="B38" s="2" t="s">
        <v>56</v>
      </c>
      <c r="C38" s="1">
        <f>COUNTIF(C9:C34,"Q4")</f>
        <v>0</v>
      </c>
      <c r="D38" s="1">
        <f>COUNTIF(D9:D34,"Q4")</f>
        <v>0</v>
      </c>
      <c r="E38" s="1">
        <f t="shared" ref="E38:S38" si="31">COUNTIF(E9:E34,"Q4")</f>
        <v>0</v>
      </c>
      <c r="F38" s="1">
        <f t="shared" si="31"/>
        <v>1</v>
      </c>
      <c r="G38" s="1">
        <f t="shared" si="31"/>
        <v>0</v>
      </c>
      <c r="H38" s="1">
        <f t="shared" si="31"/>
        <v>0</v>
      </c>
      <c r="I38" s="1">
        <f t="shared" si="31"/>
        <v>0</v>
      </c>
      <c r="J38" s="1">
        <f t="shared" si="31"/>
        <v>0</v>
      </c>
      <c r="K38" s="1">
        <f t="shared" si="31"/>
        <v>0</v>
      </c>
      <c r="L38" s="1">
        <f t="shared" si="31"/>
        <v>1</v>
      </c>
      <c r="M38" s="1">
        <f t="shared" si="31"/>
        <v>0</v>
      </c>
      <c r="N38" s="1">
        <f t="shared" si="31"/>
        <v>0</v>
      </c>
      <c r="O38" s="1">
        <f t="shared" si="31"/>
        <v>0</v>
      </c>
      <c r="P38" s="1">
        <f t="shared" si="31"/>
        <v>6</v>
      </c>
      <c r="Q38" s="1">
        <f t="shared" si="31"/>
        <v>1</v>
      </c>
      <c r="R38" s="1">
        <f t="shared" si="31"/>
        <v>3</v>
      </c>
      <c r="S38" s="1">
        <f t="shared" si="31"/>
        <v>1</v>
      </c>
      <c r="T38" s="1">
        <f t="shared" ref="T38:AT38" si="32">COUNTIF(T9:T34,"Q4")</f>
        <v>0</v>
      </c>
      <c r="U38" s="1">
        <f t="shared" si="32"/>
        <v>0</v>
      </c>
      <c r="V38" s="1">
        <f t="shared" si="32"/>
        <v>1</v>
      </c>
      <c r="W38" s="1">
        <f t="shared" si="32"/>
        <v>2</v>
      </c>
      <c r="X38" s="1">
        <f t="shared" si="32"/>
        <v>0</v>
      </c>
      <c r="Y38" s="1">
        <f t="shared" si="32"/>
        <v>1</v>
      </c>
      <c r="Z38" s="1">
        <f t="shared" si="32"/>
        <v>0</v>
      </c>
      <c r="AA38" s="1">
        <f t="shared" si="32"/>
        <v>0</v>
      </c>
      <c r="AB38" s="1">
        <f t="shared" si="32"/>
        <v>0</v>
      </c>
      <c r="AC38" s="1">
        <f t="shared" si="32"/>
        <v>1</v>
      </c>
      <c r="AD38" s="1">
        <f t="shared" si="32"/>
        <v>5</v>
      </c>
      <c r="AE38" s="1">
        <f t="shared" si="32"/>
        <v>0</v>
      </c>
      <c r="AF38" s="1">
        <f t="shared" si="32"/>
        <v>0</v>
      </c>
      <c r="AG38" s="1">
        <f t="shared" si="32"/>
        <v>0</v>
      </c>
      <c r="AH38" s="1">
        <f t="shared" si="32"/>
        <v>0</v>
      </c>
      <c r="AI38" s="1">
        <f t="shared" si="32"/>
        <v>0</v>
      </c>
      <c r="AJ38" s="1">
        <f t="shared" si="32"/>
        <v>4</v>
      </c>
      <c r="AK38" s="1">
        <f t="shared" si="32"/>
        <v>2</v>
      </c>
      <c r="AL38" s="1">
        <f t="shared" si="32"/>
        <v>0</v>
      </c>
      <c r="AM38" s="1">
        <f t="shared" si="32"/>
        <v>2</v>
      </c>
      <c r="AN38" s="1">
        <f t="shared" si="32"/>
        <v>3</v>
      </c>
      <c r="AO38" s="1">
        <f t="shared" si="32"/>
        <v>0</v>
      </c>
      <c r="AP38" s="1">
        <f t="shared" si="32"/>
        <v>0</v>
      </c>
      <c r="AQ38" s="1">
        <f t="shared" si="32"/>
        <v>0</v>
      </c>
      <c r="AR38" s="1">
        <f t="shared" si="32"/>
        <v>0</v>
      </c>
      <c r="AS38" s="1">
        <f t="shared" si="32"/>
        <v>4</v>
      </c>
      <c r="AT38" s="1">
        <f t="shared" si="32"/>
        <v>0</v>
      </c>
      <c r="AY38" s="8"/>
    </row>
    <row r="39" spans="1:69" x14ac:dyDescent="0.25">
      <c r="A39" s="2" t="s">
        <v>382</v>
      </c>
      <c r="B39" s="9" t="s">
        <v>383</v>
      </c>
      <c r="C39" s="1">
        <f>COUNTIF($C$9:$C$34,"Sin_capacidad")</f>
        <v>23</v>
      </c>
      <c r="D39" s="1">
        <f t="shared" ref="D39:AH39" si="33">COUNTIF(D9:D34,"Sin_capacidad")</f>
        <v>7</v>
      </c>
      <c r="E39" s="1">
        <f t="shared" si="33"/>
        <v>5</v>
      </c>
      <c r="F39" s="1">
        <f t="shared" si="33"/>
        <v>1</v>
      </c>
      <c r="G39" s="1">
        <f t="shared" si="33"/>
        <v>11</v>
      </c>
      <c r="H39" s="1">
        <f t="shared" si="33"/>
        <v>16</v>
      </c>
      <c r="I39" s="1">
        <f t="shared" si="33"/>
        <v>26</v>
      </c>
      <c r="J39" s="1">
        <f t="shared" si="33"/>
        <v>23</v>
      </c>
      <c r="K39" s="1">
        <f t="shared" si="33"/>
        <v>10</v>
      </c>
      <c r="L39" s="1">
        <f t="shared" si="33"/>
        <v>1</v>
      </c>
      <c r="M39" s="1">
        <f t="shared" si="33"/>
        <v>11</v>
      </c>
      <c r="N39" s="1">
        <f t="shared" si="33"/>
        <v>11</v>
      </c>
      <c r="O39" s="1">
        <f t="shared" si="33"/>
        <v>18</v>
      </c>
      <c r="P39" s="1">
        <f t="shared" si="33"/>
        <v>0</v>
      </c>
      <c r="Q39" s="1">
        <f t="shared" si="33"/>
        <v>1</v>
      </c>
      <c r="R39" s="1">
        <f t="shared" si="33"/>
        <v>0</v>
      </c>
      <c r="S39" s="1">
        <f t="shared" si="33"/>
        <v>7</v>
      </c>
      <c r="T39" s="1">
        <f t="shared" si="33"/>
        <v>25</v>
      </c>
      <c r="U39" s="1">
        <f t="shared" si="33"/>
        <v>26</v>
      </c>
      <c r="V39" s="1">
        <f t="shared" si="33"/>
        <v>21</v>
      </c>
      <c r="W39" s="1">
        <f t="shared" si="33"/>
        <v>19</v>
      </c>
      <c r="X39" s="1">
        <f t="shared" si="33"/>
        <v>6</v>
      </c>
      <c r="Y39" s="1">
        <f t="shared" si="33"/>
        <v>23</v>
      </c>
      <c r="Z39" s="1">
        <f t="shared" si="33"/>
        <v>26</v>
      </c>
      <c r="AA39" s="1">
        <f t="shared" si="33"/>
        <v>23</v>
      </c>
      <c r="AB39" s="1">
        <f t="shared" si="33"/>
        <v>26</v>
      </c>
      <c r="AC39" s="1">
        <f t="shared" si="33"/>
        <v>10</v>
      </c>
      <c r="AD39" s="1">
        <f t="shared" si="33"/>
        <v>12</v>
      </c>
      <c r="AE39" s="1">
        <f t="shared" si="33"/>
        <v>25</v>
      </c>
      <c r="AF39" s="1">
        <f t="shared" si="33"/>
        <v>23</v>
      </c>
      <c r="AG39" s="1">
        <f t="shared" si="33"/>
        <v>24</v>
      </c>
      <c r="AH39" s="1">
        <f t="shared" si="33"/>
        <v>1</v>
      </c>
      <c r="AI39" s="1">
        <f>COUNTIF(AI9:AI34,"Sin_capacidad")</f>
        <v>0</v>
      </c>
      <c r="AJ39" s="1">
        <f t="shared" ref="AJ39" si="34">COUNTIF(AJ9:AJ34,"Sin_capacidad")</f>
        <v>5</v>
      </c>
      <c r="AK39" s="1">
        <f t="shared" ref="AK39" si="35">COUNTIF(AK9:AK34,"Sin_capacidad")</f>
        <v>1</v>
      </c>
      <c r="AL39" s="1">
        <f t="shared" ref="AL39" si="36">COUNTIF(AL9:AL34,"Sin_capacidad")</f>
        <v>20</v>
      </c>
      <c r="AM39" s="1">
        <f t="shared" ref="AM39" si="37">COUNTIF(AM9:AM34,"Sin_capacidad")</f>
        <v>2</v>
      </c>
      <c r="AN39" s="1">
        <f t="shared" ref="AN39" si="38">COUNTIF(AN9:AN34,"Sin_capacidad")</f>
        <v>1</v>
      </c>
      <c r="AO39" s="1">
        <f t="shared" ref="AO39" si="39">COUNTIF(AO9:AO34,"Sin_capacidad")</f>
        <v>0</v>
      </c>
      <c r="AP39" s="1">
        <f t="shared" ref="AP39" si="40">COUNTIF(AP9:AP34,"Sin_capacidad")</f>
        <v>18</v>
      </c>
      <c r="AQ39" s="1">
        <f t="shared" ref="AQ39" si="41">COUNTIF(AQ9:AQ34,"Sin_capacidad")</f>
        <v>25</v>
      </c>
      <c r="AR39" s="1">
        <f t="shared" ref="AR39" si="42">COUNTIF(AR9:AR34,"Sin_capacidad")</f>
        <v>17</v>
      </c>
      <c r="AS39" s="1">
        <f t="shared" ref="AS39" si="43">COUNTIF(AS9:AS34,"Sin_capacidad")</f>
        <v>12</v>
      </c>
      <c r="AT39" s="1">
        <f t="shared" ref="AT39" si="44">COUNTIF(AT9:AT34,"Sin_capacidad")</f>
        <v>21</v>
      </c>
    </row>
    <row r="40" spans="1:69" x14ac:dyDescent="0.25">
      <c r="A40" s="2"/>
      <c r="B40" s="9" t="s">
        <v>384</v>
      </c>
      <c r="C40" s="10">
        <f>C39/26</f>
        <v>0.88461538461538458</v>
      </c>
      <c r="D40" s="10">
        <f t="shared" ref="D40:AH40" si="45">D39/26</f>
        <v>0.26923076923076922</v>
      </c>
      <c r="E40" s="10">
        <f t="shared" si="45"/>
        <v>0.19230769230769232</v>
      </c>
      <c r="F40" s="10">
        <f t="shared" si="45"/>
        <v>3.8461538461538464E-2</v>
      </c>
      <c r="G40" s="10">
        <f t="shared" si="45"/>
        <v>0.42307692307692307</v>
      </c>
      <c r="H40" s="10">
        <f t="shared" si="45"/>
        <v>0.61538461538461542</v>
      </c>
      <c r="I40" s="10">
        <f t="shared" si="45"/>
        <v>1</v>
      </c>
      <c r="J40" s="10">
        <f t="shared" si="45"/>
        <v>0.88461538461538458</v>
      </c>
      <c r="K40" s="10">
        <f t="shared" si="45"/>
        <v>0.38461538461538464</v>
      </c>
      <c r="L40" s="10">
        <f t="shared" si="45"/>
        <v>3.8461538461538464E-2</v>
      </c>
      <c r="M40" s="10">
        <f t="shared" si="45"/>
        <v>0.42307692307692307</v>
      </c>
      <c r="N40" s="10">
        <f t="shared" si="45"/>
        <v>0.42307692307692307</v>
      </c>
      <c r="O40" s="10">
        <f t="shared" si="45"/>
        <v>0.69230769230769229</v>
      </c>
      <c r="P40" s="10">
        <f t="shared" si="45"/>
        <v>0</v>
      </c>
      <c r="Q40" s="10">
        <f t="shared" si="45"/>
        <v>3.8461538461538464E-2</v>
      </c>
      <c r="R40" s="10">
        <f t="shared" si="45"/>
        <v>0</v>
      </c>
      <c r="S40" s="10">
        <f t="shared" si="45"/>
        <v>0.26923076923076922</v>
      </c>
      <c r="T40" s="10">
        <f t="shared" si="45"/>
        <v>0.96153846153846156</v>
      </c>
      <c r="U40" s="10">
        <f t="shared" si="45"/>
        <v>1</v>
      </c>
      <c r="V40" s="10">
        <f t="shared" si="45"/>
        <v>0.80769230769230771</v>
      </c>
      <c r="W40" s="10">
        <f t="shared" si="45"/>
        <v>0.73076923076923073</v>
      </c>
      <c r="X40" s="10">
        <f t="shared" si="45"/>
        <v>0.23076923076923078</v>
      </c>
      <c r="Y40" s="10">
        <f t="shared" si="45"/>
        <v>0.88461538461538458</v>
      </c>
      <c r="Z40" s="10">
        <f t="shared" si="45"/>
        <v>1</v>
      </c>
      <c r="AA40" s="10">
        <f t="shared" si="45"/>
        <v>0.88461538461538458</v>
      </c>
      <c r="AB40" s="10">
        <f t="shared" si="45"/>
        <v>1</v>
      </c>
      <c r="AC40" s="10">
        <f t="shared" si="45"/>
        <v>0.38461538461538464</v>
      </c>
      <c r="AD40" s="10">
        <f t="shared" si="45"/>
        <v>0.46153846153846156</v>
      </c>
      <c r="AE40" s="10">
        <f t="shared" si="45"/>
        <v>0.96153846153846156</v>
      </c>
      <c r="AF40" s="10">
        <f t="shared" si="45"/>
        <v>0.88461538461538458</v>
      </c>
      <c r="AG40" s="10">
        <f t="shared" si="45"/>
        <v>0.92307692307692313</v>
      </c>
      <c r="AH40" s="10">
        <f t="shared" si="45"/>
        <v>3.8461538461538464E-2</v>
      </c>
      <c r="AI40" s="10">
        <f>AI39/26</f>
        <v>0</v>
      </c>
      <c r="AJ40" s="10">
        <f t="shared" ref="AJ40" si="46">AJ39/26</f>
        <v>0.19230769230769232</v>
      </c>
      <c r="AK40" s="10">
        <f t="shared" ref="AK40" si="47">AK39/26</f>
        <v>3.8461538461538464E-2</v>
      </c>
      <c r="AL40" s="10">
        <f t="shared" ref="AL40" si="48">AL39/26</f>
        <v>0.76923076923076927</v>
      </c>
      <c r="AM40" s="10">
        <f t="shared" ref="AM40" si="49">AM39/26</f>
        <v>7.6923076923076927E-2</v>
      </c>
      <c r="AN40" s="10">
        <f t="shared" ref="AN40" si="50">AN39/26</f>
        <v>3.8461538461538464E-2</v>
      </c>
      <c r="AO40" s="10">
        <f t="shared" ref="AO40" si="51">AO39/26</f>
        <v>0</v>
      </c>
      <c r="AP40" s="10">
        <f t="shared" ref="AP40" si="52">AP39/26</f>
        <v>0.69230769230769229</v>
      </c>
      <c r="AQ40" s="10">
        <f t="shared" ref="AQ40" si="53">AQ39/26</f>
        <v>0.96153846153846156</v>
      </c>
      <c r="AR40" s="10">
        <f t="shared" ref="AR40" si="54">AR39/26</f>
        <v>0.65384615384615385</v>
      </c>
      <c r="AS40" s="10">
        <f t="shared" ref="AS40" si="55">AS39/26</f>
        <v>0.46153846153846156</v>
      </c>
      <c r="AT40" s="10">
        <f t="shared" ref="AT40" si="56">AT39/26</f>
        <v>0.80769230769230771</v>
      </c>
    </row>
  </sheetData>
  <mergeCells count="6">
    <mergeCell ref="AL7:AT7"/>
    <mergeCell ref="C7:O7"/>
    <mergeCell ref="P7:Q7"/>
    <mergeCell ref="R7:AB7"/>
    <mergeCell ref="AC7:AG7"/>
    <mergeCell ref="AI7:AK7"/>
  </mergeCells>
  <conditionalFormatting sqref="C35:AT39">
    <cfRule type="colorScale" priority="5">
      <colorScale>
        <cfvo type="min"/>
        <cfvo type="max"/>
        <color rgb="FFFFEF9C"/>
        <color rgb="FF63BE7B"/>
      </colorScale>
    </cfRule>
  </conditionalFormatting>
  <conditionalFormatting sqref="C35:AT40">
    <cfRule type="colorScale" priority="3">
      <colorScale>
        <cfvo type="min"/>
        <cfvo type="max"/>
        <color rgb="FF63BE7B"/>
        <color rgb="FFFFEF9C"/>
      </colorScale>
    </cfRule>
  </conditionalFormatting>
  <conditionalFormatting sqref="C40:AT40">
    <cfRule type="colorScale" priority="1">
      <colorScale>
        <cfvo type="min"/>
        <cfvo type="max"/>
        <color rgb="FF63BE7B"/>
        <color rgb="FFFFEF9C"/>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data_origen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PRADA</dc:creator>
  <cp:keywords/>
  <dc:description/>
  <cp:lastModifiedBy>Coordinador Analítica</cp:lastModifiedBy>
  <cp:revision/>
  <dcterms:created xsi:type="dcterms:W3CDTF">2026-04-11T00:03:46Z</dcterms:created>
  <dcterms:modified xsi:type="dcterms:W3CDTF">2026-06-23T23:06:35Z</dcterms:modified>
  <cp:category/>
  <cp:contentStatus/>
</cp:coreProperties>
</file>